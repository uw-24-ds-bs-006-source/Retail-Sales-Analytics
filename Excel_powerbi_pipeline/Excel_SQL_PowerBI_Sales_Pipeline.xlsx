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ima awan\Downloads\"/>
    </mc:Choice>
  </mc:AlternateContent>
  <xr:revisionPtr revIDLastSave="0" documentId="8_{6289F6C3-6B91-4BBC-9EB7-D74988E84F76}" xr6:coauthVersionLast="47" xr6:coauthVersionMax="47" xr10:uidLastSave="{00000000-0000-0000-0000-000000000000}"/>
  <bookViews>
    <workbookView xWindow="-110" yWindow="-110" windowWidth="19420" windowHeight="10420" activeTab="3" xr2:uid="{DD3C242F-DE99-413B-BE3B-AF8EBE9B9C62}"/>
  </bookViews>
  <sheets>
    <sheet name="Raw_Data" sheetId="1" r:id="rId1"/>
    <sheet name="Cleaning_Formulas" sheetId="2" r:id="rId2"/>
    <sheet name="Category_Summary" sheetId="4" r:id="rId3"/>
    <sheet name="Data_Quality_Notes" sheetId="5" r:id="rId4"/>
  </sheets>
  <calcPr calcId="0"/>
</workbook>
</file>

<file path=xl/calcChain.xml><?xml version="1.0" encoding="utf-8"?>
<calcChain xmlns="http://schemas.openxmlformats.org/spreadsheetml/2006/main">
  <c r="D8" i="4" l="1"/>
  <c r="C8" i="4"/>
  <c r="B8" i="4"/>
  <c r="D7" i="4"/>
  <c r="C7" i="4"/>
  <c r="B7" i="4"/>
  <c r="D6" i="4"/>
  <c r="C6" i="4"/>
  <c r="B6" i="4"/>
  <c r="D5" i="4"/>
  <c r="C5" i="4"/>
  <c r="B5" i="4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6" i="2"/>
</calcChain>
</file>

<file path=xl/sharedStrings.xml><?xml version="1.0" encoding="utf-8"?>
<sst xmlns="http://schemas.openxmlformats.org/spreadsheetml/2006/main" count="12518" uniqueCount="1598">
  <si>
    <t>Order ID</t>
  </si>
  <si>
    <t>Order Date</t>
  </si>
  <si>
    <t>Ship Date</t>
  </si>
  <si>
    <t>Ship Mode</t>
  </si>
  <si>
    <t>Customer Name</t>
  </si>
  <si>
    <t>Segment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</si>
  <si>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</si>
  <si>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</si>
  <si>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</si>
  <si>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</si>
  <si>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</si>
  <si>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</si>
  <si>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</si>
  <si>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</si>
  <si>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</si>
  <si>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</si>
  <si>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ORD-10216</t>
  </si>
  <si>
    <t>Second Class</t>
  </si>
  <si>
    <t>IMRAN KHAN</t>
  </si>
  <si>
    <t>Home Office</t>
  </si>
  <si>
    <t>East</t>
  </si>
  <si>
    <t>Sialkot</t>
  </si>
  <si>
    <t>Technology</t>
  </si>
  <si>
    <t>Machines</t>
  </si>
  <si>
    <t>Label Maker</t>
  </si>
  <si>
    <t>ORD-11062</t>
  </si>
  <si>
    <t>Fatima Raza</t>
  </si>
  <si>
    <t>Corporate</t>
  </si>
  <si>
    <t>South</t>
  </si>
  <si>
    <t>Hyderabad</t>
  </si>
  <si>
    <t>Furniture</t>
  </si>
  <si>
    <t>Furnishings</t>
  </si>
  <si>
    <t>Desk Lamp</t>
  </si>
  <si>
    <t>ORD-11190</t>
  </si>
  <si>
    <t>Zara Iqbal</t>
  </si>
  <si>
    <t>Consumer</t>
  </si>
  <si>
    <t>Gujranwala</t>
  </si>
  <si>
    <t>Copiers</t>
  </si>
  <si>
    <t>Desktop Copier</t>
  </si>
  <si>
    <t>ORD-10669</t>
  </si>
  <si>
    <t>Hina Sheikh</t>
  </si>
  <si>
    <t>Chairs</t>
  </si>
  <si>
    <t>Executive Leather Chair</t>
  </si>
  <si>
    <t>ORD-10840</t>
  </si>
  <si>
    <t>Standard Class</t>
  </si>
  <si>
    <t>Nort</t>
  </si>
  <si>
    <t>Islamabad</t>
  </si>
  <si>
    <t>Bookcases</t>
  </si>
  <si>
    <t>Corner Bookcase</t>
  </si>
  <si>
    <t>ORD-11011</t>
  </si>
  <si>
    <t>Omar Raza</t>
  </si>
  <si>
    <t>east</t>
  </si>
  <si>
    <t>Office Supplies</t>
  </si>
  <si>
    <t>Labels</t>
  </si>
  <si>
    <t>Address Labels</t>
  </si>
  <si>
    <t>ORD-10492</t>
  </si>
  <si>
    <t>Zara Qureshi</t>
  </si>
  <si>
    <t>Wall Clock</t>
  </si>
  <si>
    <t>ORD-10172</t>
  </si>
  <si>
    <t>Same Day</t>
  </si>
  <si>
    <t>Imran Sheikh</t>
  </si>
  <si>
    <t>Centeral</t>
  </si>
  <si>
    <t>Faisalabad</t>
  </si>
  <si>
    <t>Wall-Mount Bookcase</t>
  </si>
  <si>
    <t>ORD-10063</t>
  </si>
  <si>
    <t>First Class</t>
  </si>
  <si>
    <t>Usman Qureshi</t>
  </si>
  <si>
    <t>EAST</t>
  </si>
  <si>
    <t>Storage</t>
  </si>
  <si>
    <t>Storage Box</t>
  </si>
  <si>
    <t>ORD-10681</t>
  </si>
  <si>
    <t>Nida Khan</t>
  </si>
  <si>
    <t>central</t>
  </si>
  <si>
    <t>Multan</t>
  </si>
  <si>
    <t>Phones</t>
  </si>
  <si>
    <t>Office Desk Phone</t>
  </si>
  <si>
    <t>ORD-10051</t>
  </si>
  <si>
    <t>Mahnoor Iqbal</t>
  </si>
  <si>
    <t>Art</t>
  </si>
  <si>
    <t>Pen Set</t>
  </si>
  <si>
    <t>ORD-10650</t>
  </si>
  <si>
    <t>Zara Butt</t>
  </si>
  <si>
    <t>NORTH</t>
  </si>
  <si>
    <t>Rawalpindi</t>
  </si>
  <si>
    <t>ORD-11127</t>
  </si>
  <si>
    <t>Ahmed Malik</t>
  </si>
  <si>
    <t>SOUTH</t>
  </si>
  <si>
    <t>Floor Mat</t>
  </si>
  <si>
    <t>ORD-10677</t>
  </si>
  <si>
    <t>Hina Khan</t>
  </si>
  <si>
    <t>CENTRAL</t>
  </si>
  <si>
    <t>Shipping Labels</t>
  </si>
  <si>
    <t>ORD-10170</t>
  </si>
  <si>
    <t>Fatima Qureshi</t>
  </si>
  <si>
    <t>5-Shelf Bookcase</t>
  </si>
  <si>
    <t>ORD-10374</t>
  </si>
  <si>
    <t>Highlighter Pack</t>
  </si>
  <si>
    <t>ORD-10395</t>
  </si>
  <si>
    <t>Sana Ansari</t>
  </si>
  <si>
    <t>Tables</t>
  </si>
  <si>
    <t>Round Conference Table</t>
  </si>
  <si>
    <t>ORD-11057</t>
  </si>
  <si>
    <t>Zara Chaudhry</t>
  </si>
  <si>
    <t>Central</t>
  </si>
  <si>
    <t>ORD-10272</t>
  </si>
  <si>
    <t>Stacking Chair</t>
  </si>
  <si>
    <t>ORD-10790</t>
  </si>
  <si>
    <t>north</t>
  </si>
  <si>
    <t>Storage Bin</t>
  </si>
  <si>
    <t>ORD-11101</t>
  </si>
  <si>
    <t>Omar Chaudhry</t>
  </si>
  <si>
    <t>West</t>
  </si>
  <si>
    <t>Quetta</t>
  </si>
  <si>
    <t>ORD-10651</t>
  </si>
  <si>
    <t>Imran Malik</t>
  </si>
  <si>
    <t>Accessories</t>
  </si>
  <si>
    <t>Keyboard</t>
  </si>
  <si>
    <t>ORD-10420</t>
  </si>
  <si>
    <t>Ali Malik</t>
  </si>
  <si>
    <t>ORD-10252</t>
  </si>
  <si>
    <t>Adeel Qureshi</t>
  </si>
  <si>
    <t>ORD-10385</t>
  </si>
  <si>
    <t>Hina Malik</t>
  </si>
  <si>
    <t>Lahore</t>
  </si>
  <si>
    <t>Folding Chair</t>
  </si>
  <si>
    <t>ORD-10204</t>
  </si>
  <si>
    <t>Ahmed Chaudhry</t>
  </si>
  <si>
    <t>ORD-10325</t>
  </si>
  <si>
    <t>WEST</t>
  </si>
  <si>
    <t>Peshawar</t>
  </si>
  <si>
    <t>ORD-11015</t>
  </si>
  <si>
    <t>Ahmed Iqbal</t>
  </si>
  <si>
    <t xml:space="preserve"> West</t>
  </si>
  <si>
    <t>Wireless Mouse</t>
  </si>
  <si>
    <t>ORD-11129</t>
  </si>
  <si>
    <t>Adeel Malik</t>
  </si>
  <si>
    <t>ORD-10714</t>
  </si>
  <si>
    <t>Ayesha Farooq</t>
  </si>
  <si>
    <t>ORD-10881</t>
  </si>
  <si>
    <t>Tariq Malik</t>
  </si>
  <si>
    <t>ORD-10611</t>
  </si>
  <si>
    <t>Fatima Ansari</t>
  </si>
  <si>
    <t>ORD-10034</t>
  </si>
  <si>
    <t>Zara Sheikh</t>
  </si>
  <si>
    <t>Multifunction Copier</t>
  </si>
  <si>
    <t>ORD-10757</t>
  </si>
  <si>
    <t>Fatima Iqbal</t>
  </si>
  <si>
    <t>USB Cable</t>
  </si>
  <si>
    <t>ORD-10922</t>
  </si>
  <si>
    <t>Usman Butt</t>
  </si>
  <si>
    <t>ORD-10883</t>
  </si>
  <si>
    <t>Hina Butt</t>
  </si>
  <si>
    <t>ORD-10713</t>
  </si>
  <si>
    <t>Tariq Butt</t>
  </si>
  <si>
    <t>Corner Table</t>
  </si>
  <si>
    <t>ORD-10308</t>
  </si>
  <si>
    <t>Adeel Butt</t>
  </si>
  <si>
    <t>ORD-10698</t>
  </si>
  <si>
    <t>Mahnoor Khan</t>
  </si>
  <si>
    <t>Karachi</t>
  </si>
  <si>
    <t>Binders</t>
  </si>
  <si>
    <t>Hanging Binder</t>
  </si>
  <si>
    <t>ORD-10351</t>
  </si>
  <si>
    <t>Bilal Butt</t>
  </si>
  <si>
    <t>ORD-10833</t>
  </si>
  <si>
    <t>Smartphone X200</t>
  </si>
  <si>
    <t>ORD-10517</t>
  </si>
  <si>
    <t>Imran Farooq</t>
  </si>
  <si>
    <t>ORD-10408</t>
  </si>
  <si>
    <t>Kamran Ansari</t>
  </si>
  <si>
    <t>ORD-10934</t>
  </si>
  <si>
    <t>Sara Khan</t>
  </si>
  <si>
    <t>ORD-10264</t>
  </si>
  <si>
    <t>Ayesha Ansari</t>
  </si>
  <si>
    <t>ORD-11111</t>
  </si>
  <si>
    <t>ORD-10796</t>
  </si>
  <si>
    <t>Omar Butt</t>
  </si>
  <si>
    <t>ORD-10565</t>
  </si>
  <si>
    <t>Laser Printer</t>
  </si>
  <si>
    <t>ORD-10640</t>
  </si>
  <si>
    <t>Faisal Butt</t>
  </si>
  <si>
    <t>North</t>
  </si>
  <si>
    <t>ORD-11054</t>
  </si>
  <si>
    <t>ORD-10656</t>
  </si>
  <si>
    <t>Imran Ansari</t>
  </si>
  <si>
    <t>ORD-10671</t>
  </si>
  <si>
    <t>Ali Qureshi</t>
  </si>
  <si>
    <t xml:space="preserve"> South </t>
  </si>
  <si>
    <t>ORD-10189</t>
  </si>
  <si>
    <t>ORD-10141</t>
  </si>
  <si>
    <t>Usman Khan</t>
  </si>
  <si>
    <t>Mesh Task Chair</t>
  </si>
  <si>
    <t>ORD-10418</t>
  </si>
  <si>
    <t>Sana Butt</t>
  </si>
  <si>
    <t>Paper</t>
  </si>
  <si>
    <t>Notebook</t>
  </si>
  <si>
    <t>ORD-10522</t>
  </si>
  <si>
    <t>Imran Chaudhry</t>
  </si>
  <si>
    <t>Marker Set</t>
  </si>
  <si>
    <t>ORD-10263</t>
  </si>
  <si>
    <t>Nida Malik</t>
  </si>
  <si>
    <t>ORD-11087</t>
  </si>
  <si>
    <t>Kamran Qureshi</t>
  </si>
  <si>
    <t>ORD-10546</t>
  </si>
  <si>
    <t>Faisal Farooq</t>
  </si>
  <si>
    <t>ORD-10819</t>
  </si>
  <si>
    <t>ORD-10280</t>
  </si>
  <si>
    <t>Kamran Butt</t>
  </si>
  <si>
    <t>Coffee Table</t>
  </si>
  <si>
    <t>ORD-10595</t>
  </si>
  <si>
    <t>Imran Butt</t>
  </si>
  <si>
    <t>south</t>
  </si>
  <si>
    <t>ORD-10027</t>
  </si>
  <si>
    <t>Hina Iqbal</t>
  </si>
  <si>
    <t>ORD-11193</t>
  </si>
  <si>
    <t xml:space="preserve">  Tariq Ansari  </t>
  </si>
  <si>
    <t>Filing Cabinet</t>
  </si>
  <si>
    <t>ORD-10498</t>
  </si>
  <si>
    <t>Usman Iqbal</t>
  </si>
  <si>
    <t>N/A</t>
  </si>
  <si>
    <t>ORD-10727</t>
  </si>
  <si>
    <t>Bilal Chaudhry</t>
  </si>
  <si>
    <t>ORD-10489</t>
  </si>
  <si>
    <t>hina qureshi</t>
  </si>
  <si>
    <t>ORD-10412</t>
  </si>
  <si>
    <t>Rabia Chaudhry</t>
  </si>
  <si>
    <t>ORD-11157</t>
  </si>
  <si>
    <t>Omar Qureshi</t>
  </si>
  <si>
    <t>ORD-11172</t>
  </si>
  <si>
    <t>Ahmed Ansari</t>
  </si>
  <si>
    <t>ORD-11169</t>
  </si>
  <si>
    <t>Fatima Malik</t>
  </si>
  <si>
    <t>ORD-10046</t>
  </si>
  <si>
    <t>Omar Sheikh</t>
  </si>
  <si>
    <t>3-Ring Binder</t>
  </si>
  <si>
    <t>ORD-10113</t>
  </si>
  <si>
    <t>ORD-10467</t>
  </si>
  <si>
    <t>Hina Farooq</t>
  </si>
  <si>
    <t>ORD-10547</t>
  </si>
  <si>
    <t>Sana Farooq</t>
  </si>
  <si>
    <t>ORD-10771</t>
  </si>
  <si>
    <t>Usman Sheikh</t>
  </si>
  <si>
    <t>ORD-11160</t>
  </si>
  <si>
    <t>Zara Khan</t>
  </si>
  <si>
    <t>ORD-10101</t>
  </si>
  <si>
    <t>ORD-10379</t>
  </si>
  <si>
    <t>ORD-10663</t>
  </si>
  <si>
    <t>Rectangular Desk</t>
  </si>
  <si>
    <t>ORD-10128</t>
  </si>
  <si>
    <t xml:space="preserve">  Kamran Iqbal  </t>
  </si>
  <si>
    <t>ORD-10098</t>
  </si>
  <si>
    <t>Hina Qureshi</t>
  </si>
  <si>
    <t>ORD-10798</t>
  </si>
  <si>
    <t>Cordless Phone</t>
  </si>
  <si>
    <t>ORD-11056</t>
  </si>
  <si>
    <t>Tariq Ansari</t>
  </si>
  <si>
    <t>ORD-10875</t>
  </si>
  <si>
    <t>Ayesha Raza</t>
  </si>
  <si>
    <t>ORD-10590</t>
  </si>
  <si>
    <t xml:space="preserve">  Tariq Khan  </t>
  </si>
  <si>
    <t>ORD-10692</t>
  </si>
  <si>
    <t>Mahnoor Malik</t>
  </si>
  <si>
    <t>ORD-11131</t>
  </si>
  <si>
    <t>Ayesha Qureshi</t>
  </si>
  <si>
    <t>ORD-10110</t>
  </si>
  <si>
    <t>Kamran Sheikh</t>
  </si>
  <si>
    <t>ORD-10070</t>
  </si>
  <si>
    <t>Nida Chaudhry</t>
  </si>
  <si>
    <t>ORD-11041</t>
  </si>
  <si>
    <t>Imran Khan</t>
  </si>
  <si>
    <t>ORD-10602</t>
  </si>
  <si>
    <t>ORD-11050</t>
  </si>
  <si>
    <t>Imran Raza</t>
  </si>
  <si>
    <t>ORD-10278</t>
  </si>
  <si>
    <t>Mahnoor Butt</t>
  </si>
  <si>
    <t>ORD-10523</t>
  </si>
  <si>
    <t>Faisal Malik</t>
  </si>
  <si>
    <t>ORD-10179</t>
  </si>
  <si>
    <t>ORD-10060</t>
  </si>
  <si>
    <t>Sana Malik</t>
  </si>
  <si>
    <t>ORD-10471</t>
  </si>
  <si>
    <t>Ayesha Sheikh</t>
  </si>
  <si>
    <t>ORD-10430</t>
  </si>
  <si>
    <t>Bilal Khan</t>
  </si>
  <si>
    <t>ORD-11178</t>
  </si>
  <si>
    <t>Adeel Chaudhry</t>
  </si>
  <si>
    <t>ORD-10284</t>
  </si>
  <si>
    <t>Fatima Chaudhry</t>
  </si>
  <si>
    <t>west</t>
  </si>
  <si>
    <t>Shredder</t>
  </si>
  <si>
    <t>ORD-10983</t>
  </si>
  <si>
    <t>Nida Farooq</t>
  </si>
  <si>
    <t>ORD-10731</t>
  </si>
  <si>
    <t>Ahmed Raza</t>
  </si>
  <si>
    <t>ORD-11185</t>
  </si>
  <si>
    <t>Rabia Butt</t>
  </si>
  <si>
    <t>ORD-11026</t>
  </si>
  <si>
    <t>Kamran Malik</t>
  </si>
  <si>
    <t>ORD-10109</t>
  </si>
  <si>
    <t>Adeel Farooq</t>
  </si>
  <si>
    <t>ORD-10783</t>
  </si>
  <si>
    <t>Sara Malik</t>
  </si>
  <si>
    <t>ORD-10597</t>
  </si>
  <si>
    <t>Faisal Sheikh</t>
  </si>
  <si>
    <t>ORD-10769</t>
  </si>
  <si>
    <t>OMAR IQBAL</t>
  </si>
  <si>
    <t>Sticky Notes</t>
  </si>
  <si>
    <t>ORD-11055</t>
  </si>
  <si>
    <t>ORD-10544</t>
  </si>
  <si>
    <t>ORD-10569</t>
  </si>
  <si>
    <t>Omar Malik</t>
  </si>
  <si>
    <t>ORD-10901</t>
  </si>
  <si>
    <t>Usman Chaudhry</t>
  </si>
  <si>
    <t>ORD-11189</t>
  </si>
  <si>
    <t>Sara Butt</t>
  </si>
  <si>
    <t>ORD-10396</t>
  </si>
  <si>
    <t>Ali Farooq</t>
  </si>
  <si>
    <t>ORD-10009</t>
  </si>
  <si>
    <t>ORD-10568</t>
  </si>
  <si>
    <t>Sana Raza</t>
  </si>
  <si>
    <t>ORD-10053</t>
  </si>
  <si>
    <t>ORD-10897</t>
  </si>
  <si>
    <t>Hassan Qureshi</t>
  </si>
  <si>
    <t>ORD-10528</t>
  </si>
  <si>
    <t>Hassan Butt</t>
  </si>
  <si>
    <t>ORD-10431</t>
  </si>
  <si>
    <t>Ali Raza</t>
  </si>
  <si>
    <t>ORD-10305</t>
  </si>
  <si>
    <t>ORD-10746</t>
  </si>
  <si>
    <t>ORD-10040</t>
  </si>
  <si>
    <t>ORD-10975</t>
  </si>
  <si>
    <t>Faisal Ansari</t>
  </si>
  <si>
    <t xml:space="preserve"> North</t>
  </si>
  <si>
    <t>ORD-10734</t>
  </si>
  <si>
    <t xml:space="preserve">  Ahmed Qureshi  </t>
  </si>
  <si>
    <t>ORD-10609</t>
  </si>
  <si>
    <t>ORD-10454</t>
  </si>
  <si>
    <t>Usman Ansari</t>
  </si>
  <si>
    <t>ORD-10207</t>
  </si>
  <si>
    <t>ORD-10083</t>
  </si>
  <si>
    <t>Rabia Qureshi</t>
  </si>
  <si>
    <t>ORD-10868</t>
  </si>
  <si>
    <t>Hassan Chaudhry</t>
  </si>
  <si>
    <t>ORD-10943</t>
  </si>
  <si>
    <t>ORD-10151</t>
  </si>
  <si>
    <t>ORD-10205</t>
  </si>
  <si>
    <t>ORD-10407</t>
  </si>
  <si>
    <t>ORD-10397</t>
  </si>
  <si>
    <t xml:space="preserve">  Rabia Chaudhry  </t>
  </si>
  <si>
    <t>ORD-10557</t>
  </si>
  <si>
    <t>ORD-10667</t>
  </si>
  <si>
    <t>Ahmed Qureshi</t>
  </si>
  <si>
    <t>ORD-10935</t>
  </si>
  <si>
    <t>ORD-10473</t>
  </si>
  <si>
    <t>ORD-10146</t>
  </si>
  <si>
    <t>Ayesha Butt</t>
  </si>
  <si>
    <t>ORD-10372</t>
  </si>
  <si>
    <t>ORD-10125</t>
  </si>
  <si>
    <t>ORD-10054</t>
  </si>
  <si>
    <t>ORD-10237</t>
  </si>
  <si>
    <t>Ali Iqbal</t>
  </si>
  <si>
    <t>Copy Paper A4</t>
  </si>
  <si>
    <t>ORD-10797</t>
  </si>
  <si>
    <t>Bilal Iqbal</t>
  </si>
  <si>
    <t>ORD-10355</t>
  </si>
  <si>
    <t>ORD-10377</t>
  </si>
  <si>
    <t>ORD-11025</t>
  </si>
  <si>
    <t>ORD-10506</t>
  </si>
  <si>
    <t>Hassan Khan</t>
  </si>
  <si>
    <t>ORD-10097</t>
  </si>
  <si>
    <t>ORD-10666</t>
  </si>
  <si>
    <t>imran malik</t>
  </si>
  <si>
    <t>ORD-10848</t>
  </si>
  <si>
    <t>Kamran Raza</t>
  </si>
  <si>
    <t>ORD-10587</t>
  </si>
  <si>
    <t>Sara Raza</t>
  </si>
  <si>
    <t>ORD-10504</t>
  </si>
  <si>
    <t>ORD-10562</t>
  </si>
  <si>
    <t>ORD-11105</t>
  </si>
  <si>
    <t>Nida Sheikh</t>
  </si>
  <si>
    <t>ORD-10012</t>
  </si>
  <si>
    <t>Usman Malik</t>
  </si>
  <si>
    <t>ORD-11108</t>
  </si>
  <si>
    <t>Omar Ansari</t>
  </si>
  <si>
    <t>ORD-10253</t>
  </si>
  <si>
    <t>ORD-11010</t>
  </si>
  <si>
    <t>Tariq Farooq</t>
  </si>
  <si>
    <t>ORD-10531</t>
  </si>
  <si>
    <t>ORD-10503</t>
  </si>
  <si>
    <t>Ahmed Khan</t>
  </si>
  <si>
    <t>ORD-10013</t>
  </si>
  <si>
    <t>ORD-10637</t>
  </si>
  <si>
    <t>ORD-10895</t>
  </si>
  <si>
    <t>ORD-10789</t>
  </si>
  <si>
    <t>ORD-11031</t>
  </si>
  <si>
    <t>Usman Farooq</t>
  </si>
  <si>
    <t>ORD-10020</t>
  </si>
  <si>
    <t>Rabia Khan</t>
  </si>
  <si>
    <t>ORD-10510</t>
  </si>
  <si>
    <t>ORD-10705</t>
  </si>
  <si>
    <t>Sana Chaudhry</t>
  </si>
  <si>
    <t>ORD-11140</t>
  </si>
  <si>
    <t>ORD-10900</t>
  </si>
  <si>
    <t>Adeel Ansari</t>
  </si>
  <si>
    <t>ORD-10967</t>
  </si>
  <si>
    <t>ORD-10445</t>
  </si>
  <si>
    <t>Ali Khan</t>
  </si>
  <si>
    <t>ORD-10665</t>
  </si>
  <si>
    <t>Sara Iqbal</t>
  </si>
  <si>
    <t>ORD-10228</t>
  </si>
  <si>
    <t>Hassan Farooq</t>
  </si>
  <si>
    <t>ORD-10277</t>
  </si>
  <si>
    <t>ORD-11144</t>
  </si>
  <si>
    <t>ORD-10642</t>
  </si>
  <si>
    <t>ORD-10017</t>
  </si>
  <si>
    <t>Rabia Malik</t>
  </si>
  <si>
    <t>ORD-11141</t>
  </si>
  <si>
    <t>ORD-11021</t>
  </si>
  <si>
    <t>ORD-10761</t>
  </si>
  <si>
    <t>Nida Butt</t>
  </si>
  <si>
    <t>ORD-11186</t>
  </si>
  <si>
    <t>ORD-11159</t>
  </si>
  <si>
    <t>Fatima Butt</t>
  </si>
  <si>
    <t>ORD-11124</t>
  </si>
  <si>
    <t>Tariq Qureshi</t>
  </si>
  <si>
    <t>ORD-10115</t>
  </si>
  <si>
    <t>ORD-10416</t>
  </si>
  <si>
    <t>ORD-10649</t>
  </si>
  <si>
    <t>ORD-10426</t>
  </si>
  <si>
    <t>ORD-10530</t>
  </si>
  <si>
    <t>ORD-11020</t>
  </si>
  <si>
    <t>ORD-10262</t>
  </si>
  <si>
    <t>ORD-10768</t>
  </si>
  <si>
    <t>Rabia Ansari</t>
  </si>
  <si>
    <t>ORD-10140</t>
  </si>
  <si>
    <t>Ali Chaudhry</t>
  </si>
  <si>
    <t>ORD-11093</t>
  </si>
  <si>
    <t>Bilal Raza</t>
  </si>
  <si>
    <t>ORD-10285</t>
  </si>
  <si>
    <t>ORD-10806</t>
  </si>
  <si>
    <t>ORD-10586</t>
  </si>
  <si>
    <t>ORD-10220</t>
  </si>
  <si>
    <t>Kamran Iqbal</t>
  </si>
  <si>
    <t>ORD-10877</t>
  </si>
  <si>
    <t>ORD-10929</t>
  </si>
  <si>
    <t>Hassan Sheikh</t>
  </si>
  <si>
    <t>ORD-10760</t>
  </si>
  <si>
    <t>Sana Iqbal</t>
  </si>
  <si>
    <t>ORD-10525</t>
  </si>
  <si>
    <t>ORD-10164</t>
  </si>
  <si>
    <t>Bilal Ansari</t>
  </si>
  <si>
    <t>ORD-10493</t>
  </si>
  <si>
    <t>ORD-10108</t>
  </si>
  <si>
    <t>Adeel Khan</t>
  </si>
  <si>
    <t>ORD-10778</t>
  </si>
  <si>
    <t>Ali Sheikh</t>
  </si>
  <si>
    <t>ORD-10411</t>
  </si>
  <si>
    <t>Adeel Iqbal</t>
  </si>
  <si>
    <t>ORD-11027</t>
  </si>
  <si>
    <t>ORD-10099</t>
  </si>
  <si>
    <t>ORD-10573</t>
  </si>
  <si>
    <t>Rabia Raza</t>
  </si>
  <si>
    <t>ORD-11086</t>
  </si>
  <si>
    <t>Tariq Iqbal</t>
  </si>
  <si>
    <t>ORD-10960</t>
  </si>
  <si>
    <t>Ali Ansari</t>
  </si>
  <si>
    <t>ORD-10363</t>
  </si>
  <si>
    <t>fatima farooq</t>
  </si>
  <si>
    <t>ORD-10941</t>
  </si>
  <si>
    <t>Tariq Chaudhry</t>
  </si>
  <si>
    <t>ORD-10578</t>
  </si>
  <si>
    <t>ORD-10694</t>
  </si>
  <si>
    <t>ORD-10956</t>
  </si>
  <si>
    <t>ORD-10815</t>
  </si>
  <si>
    <t>Ayesha Chaudhry</t>
  </si>
  <si>
    <t>ORD-10572</t>
  </si>
  <si>
    <t>Nida Iqbal</t>
  </si>
  <si>
    <t>ORD-10474</t>
  </si>
  <si>
    <t>Adeel Sheikh</t>
  </si>
  <si>
    <t>ORD-10316</t>
  </si>
  <si>
    <t>ORD-10484</t>
  </si>
  <si>
    <t>ORD-10744</t>
  </si>
  <si>
    <t>ORD-10023</t>
  </si>
  <si>
    <t>ORD-10283</t>
  </si>
  <si>
    <t>NIDA IQBAL</t>
  </si>
  <si>
    <t>ORD-10668</t>
  </si>
  <si>
    <t>Faisal Khan</t>
  </si>
  <si>
    <t>ORD-10673</t>
  </si>
  <si>
    <t>ORD-10777</t>
  </si>
  <si>
    <t>ORD-11085</t>
  </si>
  <si>
    <t>ORD-10186</t>
  </si>
  <si>
    <t>ORD-10452</t>
  </si>
  <si>
    <t>Sara Sheikh</t>
  </si>
  <si>
    <t>ORD-10534</t>
  </si>
  <si>
    <t>ORD-10390</t>
  </si>
  <si>
    <t>ORD-10953</t>
  </si>
  <si>
    <t>ORD-10123</t>
  </si>
  <si>
    <t xml:space="preserve">  Rabia Raza  </t>
  </si>
  <si>
    <t>ORD-10606</t>
  </si>
  <si>
    <t>ORD-10828</t>
  </si>
  <si>
    <t xml:space="preserve">  Ayesha Iqbal  </t>
  </si>
  <si>
    <t>ORD-11067</t>
  </si>
  <si>
    <t>ORD-10699</t>
  </si>
  <si>
    <t>Nida Raza</t>
  </si>
  <si>
    <t>ORD-10933</t>
  </si>
  <si>
    <t>Imran Iqbal</t>
  </si>
  <si>
    <t>ORD-10954</t>
  </si>
  <si>
    <t>Omar Khan</t>
  </si>
  <si>
    <t>ORD-10872</t>
  </si>
  <si>
    <t>ORD-11016</t>
  </si>
  <si>
    <t>Hassan Iqbal</t>
  </si>
  <si>
    <t>ORD-10231</t>
  </si>
  <si>
    <t>ORD-10147</t>
  </si>
  <si>
    <t>ORD-10961</t>
  </si>
  <si>
    <t>ORD-10167</t>
  </si>
  <si>
    <t>ORD-10224</t>
  </si>
  <si>
    <t>ORD-10855</t>
  </si>
  <si>
    <t>ORD-10947</t>
  </si>
  <si>
    <t>Sana Qureshi</t>
  </si>
  <si>
    <t>ORD-10451</t>
  </si>
  <si>
    <t>ORD-10171</t>
  </si>
  <si>
    <t>Sara Ansari</t>
  </si>
  <si>
    <t>ORD-10318</t>
  </si>
  <si>
    <t>Ahmed Butt</t>
  </si>
  <si>
    <t>ORD-10168</t>
  </si>
  <si>
    <t>ORD-10306</t>
  </si>
  <si>
    <t>ORD-10483</t>
  </si>
  <si>
    <t>ORD-10358</t>
  </si>
  <si>
    <t>ORD-11187</t>
  </si>
  <si>
    <t>ORD-11039</t>
  </si>
  <si>
    <t>ORD-10042</t>
  </si>
  <si>
    <t>ORD-10825</t>
  </si>
  <si>
    <t>ORD-10946</t>
  </si>
  <si>
    <t>Rabia Farooq</t>
  </si>
  <si>
    <t>ORD-10132</t>
  </si>
  <si>
    <t>Nida Ansari</t>
  </si>
  <si>
    <t>ORD-10893</t>
  </si>
  <si>
    <t>ORD-10038</t>
  </si>
  <si>
    <t>ORD-10871</t>
  </si>
  <si>
    <t>ORD-10399</t>
  </si>
  <si>
    <t>ORD-10350</t>
  </si>
  <si>
    <t>ORD-10270</t>
  </si>
  <si>
    <t>ORD-10541</t>
  </si>
  <si>
    <t>ORD-11091</t>
  </si>
  <si>
    <t>Bilal Malik</t>
  </si>
  <si>
    <t>ORD-10166</t>
  </si>
  <si>
    <t>ORD-10556</t>
  </si>
  <si>
    <t>ORD-10071</t>
  </si>
  <si>
    <t>ORD-10367</t>
  </si>
  <si>
    <t>ORD-10736</t>
  </si>
  <si>
    <t>ORD-10977</t>
  </si>
  <si>
    <t>Kamran Chaudhry</t>
  </si>
  <si>
    <t>ORD-11170</t>
  </si>
  <si>
    <t>ORD-10336</t>
  </si>
  <si>
    <t>ORD-10289</t>
  </si>
  <si>
    <t>ORD-10004</t>
  </si>
  <si>
    <t>Zara Malik</t>
  </si>
  <si>
    <t>ORD-10369</t>
  </si>
  <si>
    <t>Imran Qureshi</t>
  </si>
  <si>
    <t>ORD-10617</t>
  </si>
  <si>
    <t>mahnoor malik</t>
  </si>
  <si>
    <t>ORD-10462</t>
  </si>
  <si>
    <t>Faisal Iqbal</t>
  </si>
  <si>
    <t>ORD-10410</t>
  </si>
  <si>
    <t>ORD-10389</t>
  </si>
  <si>
    <t>Fatima Khan</t>
  </si>
  <si>
    <t>ORD-11069</t>
  </si>
  <si>
    <t>Mahnoor Chaudhry</t>
  </si>
  <si>
    <t>ORD-10326</t>
  </si>
  <si>
    <t>ORD-11168</t>
  </si>
  <si>
    <t>Tariq Raza</t>
  </si>
  <si>
    <t>ORD-11095</t>
  </si>
  <si>
    <t>ORD-10094</t>
  </si>
  <si>
    <t>ORD-10095</t>
  </si>
  <si>
    <t>Bilal Sheikh</t>
  </si>
  <si>
    <t>ORD-10361</t>
  </si>
  <si>
    <t>Rabia Sheikh</t>
  </si>
  <si>
    <t>ORD-10447</t>
  </si>
  <si>
    <t>ORD-10751</t>
  </si>
  <si>
    <t>Kamran Farooq</t>
  </si>
  <si>
    <t>ORD-10984</t>
  </si>
  <si>
    <t>ORD-10619</t>
  </si>
  <si>
    <t>ORD-10058</t>
  </si>
  <si>
    <t>ORD-10548</t>
  </si>
  <si>
    <t>ORD-10664</t>
  </si>
  <si>
    <t>ORD-10626</t>
  </si>
  <si>
    <t>ORD-10024</t>
  </si>
  <si>
    <t>ORD-10812</t>
  </si>
  <si>
    <t>ORD-10770</t>
  </si>
  <si>
    <t>Mahnoor Raza</t>
  </si>
  <si>
    <t>ORD-10244</t>
  </si>
  <si>
    <t>ORD-10025</t>
  </si>
  <si>
    <t>ORD-10222</t>
  </si>
  <si>
    <t>ORD-10620</t>
  </si>
  <si>
    <t>ORD-10105</t>
  </si>
  <si>
    <t>ORD-11104</t>
  </si>
  <si>
    <t>ORD-10130</t>
  </si>
  <si>
    <t>ORD-10153</t>
  </si>
  <si>
    <t>ORD-10912</t>
  </si>
  <si>
    <t>Ayesha Malik</t>
  </si>
  <si>
    <t>ORD-11188</t>
  </si>
  <si>
    <t>ORD-10742</t>
  </si>
  <si>
    <t>ORD-10712</t>
  </si>
  <si>
    <t>ORD-10107</t>
  </si>
  <si>
    <t>ORD-10075</t>
  </si>
  <si>
    <t>ORD-10970</t>
  </si>
  <si>
    <t>ORD-11088</t>
  </si>
  <si>
    <t>ORD-10952</t>
  </si>
  <si>
    <t>ORD-10732</t>
  </si>
  <si>
    <t>ORD-11013</t>
  </si>
  <si>
    <t>ORD-10457</t>
  </si>
  <si>
    <t>ORD-10722</t>
  </si>
  <si>
    <t>ORD-10199</t>
  </si>
  <si>
    <t>OMAR BUTT</t>
  </si>
  <si>
    <t>ORD-10887</t>
  </si>
  <si>
    <t>Bilal Qureshi</t>
  </si>
  <si>
    <t>ORD-10134</t>
  </si>
  <si>
    <t>Nida Qureshi</t>
  </si>
  <si>
    <t>ORD-10945</t>
  </si>
  <si>
    <t>ORD-10259</t>
  </si>
  <si>
    <t>ORD-10334</t>
  </si>
  <si>
    <t xml:space="preserve">  Ahmed Iqbal  </t>
  </si>
  <si>
    <t>ORD-11173</t>
  </si>
  <si>
    <t>ORD-10003</t>
  </si>
  <si>
    <t>ORD-10737</t>
  </si>
  <si>
    <t>Hassan Malik</t>
  </si>
  <si>
    <t>ORD-10210</t>
  </si>
  <si>
    <t>ORD-10196</t>
  </si>
  <si>
    <t xml:space="preserve">  Sara Iqbal  </t>
  </si>
  <si>
    <t>ORD-10610</t>
  </si>
  <si>
    <t>ORD-10511</t>
  </si>
  <si>
    <t>Tariq Khan</t>
  </si>
  <si>
    <t>ORD-10687</t>
  </si>
  <si>
    <t>ORD-10026</t>
  </si>
  <si>
    <t>View Binder</t>
  </si>
  <si>
    <t>ORD-10324</t>
  </si>
  <si>
    <t>ORD-10735</t>
  </si>
  <si>
    <t>Ayesha Iqbal</t>
  </si>
  <si>
    <t>ORD-11070</t>
  </si>
  <si>
    <t>ORD-11149</t>
  </si>
  <si>
    <t>Rabia Iqbal</t>
  </si>
  <si>
    <t>ORD-10969</t>
  </si>
  <si>
    <t>ORD-10061</t>
  </si>
  <si>
    <t>ORD-10888</t>
  </si>
  <si>
    <t>ORD-11048</t>
  </si>
  <si>
    <t>ORD-10781</t>
  </si>
  <si>
    <t>ORD-10339</t>
  </si>
  <si>
    <t>ORD-10950</t>
  </si>
  <si>
    <t>ORD-10702</t>
  </si>
  <si>
    <t>ORD-10657</t>
  </si>
  <si>
    <t>ORD-10794</t>
  </si>
  <si>
    <t>Usman Raza</t>
  </si>
  <si>
    <t>ORD-10409</t>
  </si>
  <si>
    <t>ORD-10446</t>
  </si>
  <si>
    <t>ORD-10985</t>
  </si>
  <si>
    <t>ORD-10508</t>
  </si>
  <si>
    <t>ORD-10913</t>
  </si>
  <si>
    <t>ORD-10008</t>
  </si>
  <si>
    <t>ORD-10729</t>
  </si>
  <si>
    <t>ORD-10869</t>
  </si>
  <si>
    <t>ORD-11060</t>
  </si>
  <si>
    <t>ORD-10300</t>
  </si>
  <si>
    <t>ORD-10870</t>
  </si>
  <si>
    <t>ORD-10843</t>
  </si>
  <si>
    <t>ORD-10127</t>
  </si>
  <si>
    <t>ORD-10074</t>
  </si>
  <si>
    <t>ORD-11194</t>
  </si>
  <si>
    <t>ORD-10891</t>
  </si>
  <si>
    <t>ORD-10057</t>
  </si>
  <si>
    <t>ORD-11044</t>
  </si>
  <si>
    <t>ORD-11008</t>
  </si>
  <si>
    <t>zara sheikh</t>
  </si>
  <si>
    <t>ORD-10536</t>
  </si>
  <si>
    <t>ORD-10297</t>
  </si>
  <si>
    <t>ORD-10414</t>
  </si>
  <si>
    <t>Hina Ansari</t>
  </si>
  <si>
    <t>ORD-10217</t>
  </si>
  <si>
    <t>ORD-11122</t>
  </si>
  <si>
    <t>ORD-10733</t>
  </si>
  <si>
    <t xml:space="preserve">  Imran Farooq  </t>
  </si>
  <si>
    <t>ORD-10323</t>
  </si>
  <si>
    <t>Fatima Farooq</t>
  </si>
  <si>
    <t>ORD-10344</t>
  </si>
  <si>
    <t>ORD-10633</t>
  </si>
  <si>
    <t>ORD-10898</t>
  </si>
  <si>
    <t>Hina Raza</t>
  </si>
  <si>
    <t>ORD-10704</t>
  </si>
  <si>
    <t>ORD-10658</t>
  </si>
  <si>
    <t>Hassan Raza</t>
  </si>
  <si>
    <t>ORD-10688</t>
  </si>
  <si>
    <t>ORD-11109</t>
  </si>
  <si>
    <t>ORD-10927</t>
  </si>
  <si>
    <t>ORD-10880</t>
  </si>
  <si>
    <t>Adeel Raza</t>
  </si>
  <si>
    <t>ORD-10540</t>
  </si>
  <si>
    <t>ORD-10266</t>
  </si>
  <si>
    <t>ORD-10006</t>
  </si>
  <si>
    <t>ORD-10703</t>
  </si>
  <si>
    <t>ORD-10122</t>
  </si>
  <si>
    <t>ORD-10951</t>
  </si>
  <si>
    <t>ORD-10138</t>
  </si>
  <si>
    <t>ORD-10163</t>
  </si>
  <si>
    <t>ORD-10755</t>
  </si>
  <si>
    <t>ORD-10564</t>
  </si>
  <si>
    <t>ORD-11090</t>
  </si>
  <si>
    <t>ORD-10043</t>
  </si>
  <si>
    <t>ORD-10788</t>
  </si>
  <si>
    <t>ORD-10963</t>
  </si>
  <si>
    <t>Ahmed Sheikh</t>
  </si>
  <si>
    <t>ORD-10319</t>
  </si>
  <si>
    <t>ORD-11045</t>
  </si>
  <si>
    <t>ORD-10817</t>
  </si>
  <si>
    <t>ORD-10488</t>
  </si>
  <si>
    <t>ORD-10294</t>
  </si>
  <si>
    <t>ORD-10463</t>
  </si>
  <si>
    <t>ORD-11065</t>
  </si>
  <si>
    <t>ORD-10623</t>
  </si>
  <si>
    <t xml:space="preserve">  Fatima Chaudhry  </t>
  </si>
  <si>
    <t>ORD-10739</t>
  </si>
  <si>
    <t>ORD-10019</t>
  </si>
  <si>
    <t>ORD-10594</t>
  </si>
  <si>
    <t>ORD-10756</t>
  </si>
  <si>
    <t>ORD-10518</t>
  </si>
  <si>
    <t>hina khan</t>
  </si>
  <si>
    <t>ORD-10720</t>
  </si>
  <si>
    <t>ORD-11073</t>
  </si>
  <si>
    <t>ORD-10691</t>
  </si>
  <si>
    <t>Fatima Sheikh</t>
  </si>
  <si>
    <t>ORD-10874</t>
  </si>
  <si>
    <t>ORD-10507</t>
  </si>
  <si>
    <t>ORD-10137</t>
  </si>
  <si>
    <t>ORD-11098</t>
  </si>
  <si>
    <t>ORD-10721</t>
  </si>
  <si>
    <t>ORD-10185</t>
  </si>
  <si>
    <t>ORD-10999</t>
  </si>
  <si>
    <t>ORD-11120</t>
  </si>
  <si>
    <t>ORD-11177</t>
  </si>
  <si>
    <t>Hassan Ansari</t>
  </si>
  <si>
    <t>ORD-10804</t>
  </si>
  <si>
    <t>ORD-10706</t>
  </si>
  <si>
    <t>ORD-11167</t>
  </si>
  <si>
    <t>ORD-10526</t>
  </si>
  <si>
    <t>ORD-10327</t>
  </si>
  <si>
    <t>ORD-10317</t>
  </si>
  <si>
    <t>ORD-10862</t>
  </si>
  <si>
    <t>ORD-11075</t>
  </si>
  <si>
    <t>ORD-10551</t>
  </si>
  <si>
    <t>ORD-11074</t>
  </si>
  <si>
    <t>Kamran Khan</t>
  </si>
  <si>
    <t>ORD-10964</t>
  </si>
  <si>
    <t>Faisal Qureshi</t>
  </si>
  <si>
    <t>ORD-10509</t>
  </si>
  <si>
    <t>ORD-10700</t>
  </si>
  <si>
    <t>ORD-10857</t>
  </si>
  <si>
    <t>ORD-10148</t>
  </si>
  <si>
    <t>ORD-10972</t>
  </si>
  <si>
    <t>ORD-10993</t>
  </si>
  <si>
    <t>ORD-11179</t>
  </si>
  <si>
    <t>Sara Farooq</t>
  </si>
  <si>
    <t>ORD-11017</t>
  </si>
  <si>
    <t>ORD-10365</t>
  </si>
  <si>
    <t>ORD-10603</t>
  </si>
  <si>
    <t>ORD-10478</t>
  </si>
  <si>
    <t>ORD-11174</t>
  </si>
  <si>
    <t>ORD-11022</t>
  </si>
  <si>
    <t>ORD-10980</t>
  </si>
  <si>
    <t>ORD-10585</t>
  </si>
  <si>
    <t>ORD-10232</t>
  </si>
  <si>
    <t>BILAL RAZA</t>
  </si>
  <si>
    <t>ORD-10845</t>
  </si>
  <si>
    <t>Mahnoor Farooq</t>
  </si>
  <si>
    <t>ORD-10621</t>
  </si>
  <si>
    <t>ZARA SHEIKH</t>
  </si>
  <si>
    <t>ORD-10835</t>
  </si>
  <si>
    <t>ORD-10432</t>
  </si>
  <si>
    <t>Ahmed Farooq</t>
  </si>
  <si>
    <t>ORD-10743</t>
  </si>
  <si>
    <t>ORD-10158</t>
  </si>
  <si>
    <t>ORD-10315</t>
  </si>
  <si>
    <t>ORD-10256</t>
  </si>
  <si>
    <t>ORD-10785</t>
  </si>
  <si>
    <t>Tariq Sheikh</t>
  </si>
  <si>
    <t>ORD-10096</t>
  </si>
  <si>
    <t>ORD-10439</t>
  </si>
  <si>
    <t>Faisal Chaudhry</t>
  </si>
  <si>
    <t>ORD-10500</t>
  </si>
  <si>
    <t xml:space="preserve">  Ali Sheikh  </t>
  </si>
  <si>
    <t>ORD-10384</t>
  </si>
  <si>
    <t>ORD-10674</t>
  </si>
  <si>
    <t>ORD-10177</t>
  </si>
  <si>
    <t>ORD-10513</t>
  </si>
  <si>
    <t>ORD-10328</t>
  </si>
  <si>
    <t>ORD-10314</t>
  </si>
  <si>
    <t>ORD-10415</t>
  </si>
  <si>
    <t>ORD-10357</t>
  </si>
  <si>
    <t>ORD-10347</t>
  </si>
  <si>
    <t>ORD-11133</t>
  </si>
  <si>
    <t>ORD-10298</t>
  </si>
  <si>
    <t>ORD-10455</t>
  </si>
  <si>
    <t>ORD-11083</t>
  </si>
  <si>
    <t>ORD-11089</t>
  </si>
  <si>
    <t>ORD-10810</t>
  </si>
  <si>
    <t>ORD-11142</t>
  </si>
  <si>
    <t>Omar Farooq</t>
  </si>
  <si>
    <t>ORD-10837</t>
  </si>
  <si>
    <t>Sara Qureshi</t>
  </si>
  <si>
    <t>ORD-10679</t>
  </si>
  <si>
    <t>Bilal Farooq</t>
  </si>
  <si>
    <t>ORD-10249</t>
  </si>
  <si>
    <t>ORD-10824</t>
  </si>
  <si>
    <t>ORD-10015</t>
  </si>
  <si>
    <t>ORD-11079</t>
  </si>
  <si>
    <t>ORD-10159</t>
  </si>
  <si>
    <t>ORD-11047</t>
  </si>
  <si>
    <t>ORD-10750</t>
  </si>
  <si>
    <t>ORD-10632</t>
  </si>
  <si>
    <t>ORD-10360</t>
  </si>
  <si>
    <t>ORD-10048</t>
  </si>
  <si>
    <t>ORD-10202</t>
  </si>
  <si>
    <t>ORD-10330</t>
  </si>
  <si>
    <t>ORD-11115</t>
  </si>
  <si>
    <t>ORD-10112</t>
  </si>
  <si>
    <t>ORD-10338</t>
  </si>
  <si>
    <t>ORD-10307</t>
  </si>
  <si>
    <t>ORD-10571</t>
  </si>
  <si>
    <t>ORD-10422</t>
  </si>
  <si>
    <t>ORD-10813</t>
  </si>
  <si>
    <t>ORD-10635</t>
  </si>
  <si>
    <t>ORD-10459</t>
  </si>
  <si>
    <t>ORD-10841</t>
  </si>
  <si>
    <t>ORD-10618</t>
  </si>
  <si>
    <t>ORD-10449</t>
  </si>
  <si>
    <t>ORD-10655</t>
  </si>
  <si>
    <t>ORD-10080</t>
  </si>
  <si>
    <t>ahmed raza</t>
  </si>
  <si>
    <t>ORD-10662</t>
  </si>
  <si>
    <t>ORD-10215</t>
  </si>
  <si>
    <t>ORD-10641</t>
  </si>
  <si>
    <t>ORD-10030</t>
  </si>
  <si>
    <t>Mahnoor Qureshi</t>
  </si>
  <si>
    <t>ORD-10242</t>
  </si>
  <si>
    <t>ORD-10660</t>
  </si>
  <si>
    <t>ORD-10209</t>
  </si>
  <si>
    <t>ORD-10563</t>
  </si>
  <si>
    <t>ORD-10435</t>
  </si>
  <si>
    <t>Ali Butt</t>
  </si>
  <si>
    <t>ORD-10044</t>
  </si>
  <si>
    <t>Sana Sheikh</t>
  </si>
  <si>
    <t>ORD-11128</t>
  </si>
  <si>
    <t>ORD-10652</t>
  </si>
  <si>
    <t>ORD-10403</t>
  </si>
  <si>
    <t>ORD-10362</t>
  </si>
  <si>
    <t>ORD-10271</t>
  </si>
  <si>
    <t>ORD-10466</t>
  </si>
  <si>
    <t>ORD-11102</t>
  </si>
  <si>
    <t>ORD-10799</t>
  </si>
  <si>
    <t>ORD-11116</t>
  </si>
  <si>
    <t>ORD-11002</t>
  </si>
  <si>
    <t>ORD-10718</t>
  </si>
  <si>
    <t>ORD-10442</t>
  </si>
  <si>
    <t>ORD-10299</t>
  </si>
  <si>
    <t>ORD-10375</t>
  </si>
  <si>
    <t>ORD-10795</t>
  </si>
  <si>
    <t>ORD-10860</t>
  </si>
  <si>
    <t>ORD-10725</t>
  </si>
  <si>
    <t>ahmed butt</t>
  </si>
  <si>
    <t>ORD-10472</t>
  </si>
  <si>
    <t>ORD-10598</t>
  </si>
  <si>
    <t>ORD-11121</t>
  </si>
  <si>
    <t>ORD-10388</t>
  </si>
  <si>
    <t>ORD-10022</t>
  </si>
  <si>
    <t>ORD-10558</t>
  </si>
  <si>
    <t>ORD-10937</t>
  </si>
  <si>
    <t>Omar Iqbal</t>
  </si>
  <si>
    <t>ORD-10423</t>
  </si>
  <si>
    <t>ORD-11019</t>
  </si>
  <si>
    <t>ORD-11071</t>
  </si>
  <si>
    <t>ORD-10906</t>
  </si>
  <si>
    <t>ORD-10142</t>
  </si>
  <si>
    <t>ORD-10050</t>
  </si>
  <si>
    <t>ORD-10716</t>
  </si>
  <si>
    <t>ORD-10782</t>
  </si>
  <si>
    <t>ORD-10081</t>
  </si>
  <si>
    <t>ORD-10482</t>
  </si>
  <si>
    <t>ORD-10321</t>
  </si>
  <si>
    <t>ORD-11028</t>
  </si>
  <si>
    <t>ORD-10740</t>
  </si>
  <si>
    <t>ORD-11181</t>
  </si>
  <si>
    <t>ORD-10066</t>
  </si>
  <si>
    <t>ORD-11152</t>
  </si>
  <si>
    <t>ADEEL KHAN</t>
  </si>
  <si>
    <t>ORD-10793</t>
  </si>
  <si>
    <t>ORD-10417</t>
  </si>
  <si>
    <t>ORD-11046</t>
  </si>
  <si>
    <t>ORD-10064</t>
  </si>
  <si>
    <t>ORD-10971</t>
  </si>
  <si>
    <t>ORD-10962</t>
  </si>
  <si>
    <t>ORD-11113</t>
  </si>
  <si>
    <t>ORD-10491</t>
  </si>
  <si>
    <t>ORD-10754</t>
  </si>
  <si>
    <t>ORD-11112</t>
  </si>
  <si>
    <t>Hina Chaudhry</t>
  </si>
  <si>
    <t>ORD-10065</t>
  </si>
  <si>
    <t>ORD-11040</t>
  </si>
  <si>
    <t>ORD-11078</t>
  </si>
  <si>
    <t>ORD-11035</t>
  </si>
  <si>
    <t>ORD-10296</t>
  </si>
  <si>
    <t>ORD-10591</t>
  </si>
  <si>
    <t>ORD-10419</t>
  </si>
  <si>
    <t>ORD-10438</t>
  </si>
  <si>
    <t>ORD-10261</t>
  </si>
  <si>
    <t>ORD-10747</t>
  </si>
  <si>
    <t>ORD-10281</t>
  </si>
  <si>
    <t>FAISAL KHAN</t>
  </si>
  <si>
    <t>ORD-10680</t>
  </si>
  <si>
    <t>ORD-10876</t>
  </si>
  <si>
    <t>ORD-10188</t>
  </si>
  <si>
    <t>ORD-10957</t>
  </si>
  <si>
    <t>ORD-10251</t>
  </si>
  <si>
    <t>ORD-10930</t>
  </si>
  <si>
    <t>ORD-10748</t>
  </si>
  <si>
    <t>ORD-10514</t>
  </si>
  <si>
    <t>ORD-10638</t>
  </si>
  <si>
    <t>ORD-10487</t>
  </si>
  <si>
    <t xml:space="preserve">  Faisal Raza  </t>
  </si>
  <si>
    <t>ORD-10273</t>
  </si>
  <si>
    <t>ORD-11024</t>
  </si>
  <si>
    <t>ORD-11114</t>
  </si>
  <si>
    <t>ORD-10448</t>
  </si>
  <si>
    <t>ORD-10915</t>
  </si>
  <si>
    <t>ORD-10801</t>
  </si>
  <si>
    <t>ORD-10998</t>
  </si>
  <si>
    <t>ORD-11014</t>
  </si>
  <si>
    <t>ORD-10149</t>
  </si>
  <si>
    <t>ORD-10218</t>
  </si>
  <si>
    <t>ORD-10239</t>
  </si>
  <si>
    <t>ORD-10773</t>
  </si>
  <si>
    <t>ORD-10192</t>
  </si>
  <si>
    <t>ORD-10191</t>
  </si>
  <si>
    <t>ORD-11184</t>
  </si>
  <si>
    <t>ORD-10644</t>
  </si>
  <si>
    <t>Ayesha Khan</t>
  </si>
  <si>
    <t>ORD-10648</t>
  </si>
  <si>
    <t>ORD-11198</t>
  </si>
  <si>
    <t>ORD-10643</t>
  </si>
  <si>
    <t>ORD-11005</t>
  </si>
  <si>
    <t>ORD-11033</t>
  </si>
  <si>
    <t>ORD-10582</t>
  </si>
  <si>
    <t>ORD-10758</t>
  </si>
  <si>
    <t>ORD-10627</t>
  </si>
  <si>
    <t>ORD-11150</t>
  </si>
  <si>
    <t>HASSAN IQBAL</t>
  </si>
  <si>
    <t>ORD-10996</t>
  </si>
  <si>
    <t>ORD-10631</t>
  </si>
  <si>
    <t>Zara Farooq</t>
  </si>
  <si>
    <t>ORD-10921</t>
  </si>
  <si>
    <t>ORD-10708</t>
  </si>
  <si>
    <t>ORD-10437</t>
  </si>
  <si>
    <t>ORD-10829</t>
  </si>
  <si>
    <t>ORD-10902</t>
  </si>
  <si>
    <t>ORD-10341</t>
  </si>
  <si>
    <t>ORD-10002</t>
  </si>
  <si>
    <t>ORD-10229</t>
  </si>
  <si>
    <t>ORD-10696</t>
  </si>
  <si>
    <t>ORD-11197</t>
  </si>
  <si>
    <t>ORD-10076</t>
  </si>
  <si>
    <t>ORD-11145</t>
  </si>
  <si>
    <t>ORD-10371</t>
  </si>
  <si>
    <t>ORD-10180</t>
  </si>
  <si>
    <t>ORD-10800</t>
  </si>
  <si>
    <t>ORD-10577</t>
  </si>
  <si>
    <t>ORD-10791</t>
  </si>
  <si>
    <t>Sana Khan</t>
  </si>
  <si>
    <t>ORD-10816</t>
  </si>
  <si>
    <t>ORD-11061</t>
  </si>
  <si>
    <t>ORD-11052</t>
  </si>
  <si>
    <t>ORD-10697</t>
  </si>
  <si>
    <t>ORD-10589</t>
  </si>
  <si>
    <t>ORD-10831</t>
  </si>
  <si>
    <t>ORD-10879</t>
  </si>
  <si>
    <t>ORD-10311</t>
  </si>
  <si>
    <t>ORD-11051</t>
  </si>
  <si>
    <t>ORD-10037</t>
  </si>
  <si>
    <t>ORD-10353</t>
  </si>
  <si>
    <t>Zara Ansari</t>
  </si>
  <si>
    <t>ORD-11137</t>
  </si>
  <si>
    <t>ORD-10236</t>
  </si>
  <si>
    <t>ORD-11134</t>
  </si>
  <si>
    <t>ORD-11164</t>
  </si>
  <si>
    <t>ORD-10499</t>
  </si>
  <si>
    <t>ORD-10553</t>
  </si>
  <si>
    <t>ORD-10055</t>
  </si>
  <si>
    <t>ORD-10302</t>
  </si>
  <si>
    <t>ORD-10286</t>
  </si>
  <si>
    <t>ORD-10863</t>
  </si>
  <si>
    <t>ORD-10219</t>
  </si>
  <si>
    <t>ORD-10685</t>
  </si>
  <si>
    <t>ORD-10387</t>
  </si>
  <si>
    <t>ORD-10792</t>
  </si>
  <si>
    <t xml:space="preserve">  Sana Butt  </t>
  </si>
  <si>
    <t>ORD-10352</t>
  </si>
  <si>
    <t>ORD-10193</t>
  </si>
  <si>
    <t>ORD-10235</t>
  </si>
  <si>
    <t>ORD-11049</t>
  </si>
  <si>
    <t>ORD-10480</t>
  </si>
  <si>
    <t>ORD-10567</t>
  </si>
  <si>
    <t>ORD-10116</t>
  </si>
  <si>
    <t xml:space="preserve">  Sana Qureshi  </t>
  </si>
  <si>
    <t>ORD-10936</t>
  </si>
  <si>
    <t>sana farooq</t>
  </si>
  <si>
    <t>ORD-10653</t>
  </si>
  <si>
    <t>ORD-11034</t>
  </si>
  <si>
    <t>ORD-11148</t>
  </si>
  <si>
    <t>ORD-10570</t>
  </si>
  <si>
    <t>ORD-10866</t>
  </si>
  <si>
    <t>ORD-10120</t>
  </si>
  <si>
    <t>ORD-10882</t>
  </si>
  <si>
    <t>ORD-11058</t>
  </si>
  <si>
    <t>ORD-10839</t>
  </si>
  <si>
    <t>ORD-10062</t>
  </si>
  <si>
    <t>ORD-11012</t>
  </si>
  <si>
    <t>ORD-10453</t>
  </si>
  <si>
    <t>ORD-10515</t>
  </si>
  <si>
    <t>ORD-10223</t>
  </si>
  <si>
    <t>ORD-10613</t>
  </si>
  <si>
    <t>SANA CHAUDHRY</t>
  </si>
  <si>
    <t>ORD-10221</t>
  </si>
  <si>
    <t>ORD-10724</t>
  </si>
  <si>
    <t>ORD-10955</t>
  </si>
  <si>
    <t>ORD-10465</t>
  </si>
  <si>
    <t>ORD-10052</t>
  </si>
  <si>
    <t>ORD-11135</t>
  </si>
  <si>
    <t>ORD-10485</t>
  </si>
  <si>
    <t>ORD-11183</t>
  </si>
  <si>
    <t>ORD-10992</t>
  </si>
  <si>
    <t>ORD-10155</t>
  </si>
  <si>
    <t>ORD-10990</t>
  </si>
  <si>
    <t>ORD-10600</t>
  </si>
  <si>
    <t>ORD-10948</t>
  </si>
  <si>
    <t>ORD-10248</t>
  </si>
  <si>
    <t>ORD-10441</t>
  </si>
  <si>
    <t>ORD-11125</t>
  </si>
  <si>
    <t>ORD-11138</t>
  </si>
  <si>
    <t>Zara Raza</t>
  </si>
  <si>
    <t>ORD-10542</t>
  </si>
  <si>
    <t>ORD-10701</t>
  </si>
  <si>
    <t>ORD-10117</t>
  </si>
  <si>
    <t>ORD-10779</t>
  </si>
  <si>
    <t>ORD-10628</t>
  </si>
  <si>
    <t>ORD-10767</t>
  </si>
  <si>
    <t>ORD-10995</t>
  </si>
  <si>
    <t>ORD-10291</t>
  </si>
  <si>
    <t>ORD-11081</t>
  </si>
  <si>
    <t>Mahnoor Ansari</t>
  </si>
  <si>
    <t>ORD-10381</t>
  </si>
  <si>
    <t>ORD-10752</t>
  </si>
  <si>
    <t xml:space="preserve">  Bilal Raza  </t>
  </si>
  <si>
    <t>ORD-10878</t>
  </si>
  <si>
    <t>ORD-10200</t>
  </si>
  <si>
    <t>ORD-10596</t>
  </si>
  <si>
    <t>ORD-11192</t>
  </si>
  <si>
    <t>ORD-11180</t>
  </si>
  <si>
    <t>ORD-10505</t>
  </si>
  <si>
    <t>ORD-10348</t>
  </si>
  <si>
    <t>ORD-10997</t>
  </si>
  <si>
    <t>ORD-10340</t>
  </si>
  <si>
    <t>ORD-10615</t>
  </si>
  <si>
    <t>TARIQ BUTT</t>
  </si>
  <si>
    <t>ORD-10154</t>
  </si>
  <si>
    <t>ORD-11146</t>
  </si>
  <si>
    <t>ORD-10820</t>
  </si>
  <si>
    <t>ORD-10077</t>
  </si>
  <si>
    <t>ORD-10287</t>
  </si>
  <si>
    <t>ORD-10322</t>
  </si>
  <si>
    <t>ORD-10886</t>
  </si>
  <si>
    <t>ORD-10885</t>
  </si>
  <si>
    <t>ORD-10858</t>
  </si>
  <si>
    <t>ORD-10082</t>
  </si>
  <si>
    <t>ORD-10853</t>
  </si>
  <si>
    <t>NIDA QURESHI</t>
  </si>
  <si>
    <t>ORD-10464</t>
  </si>
  <si>
    <t>ORD-10928</t>
  </si>
  <si>
    <t>ORD-11130</t>
  </si>
  <si>
    <t>ORD-10240</t>
  </si>
  <si>
    <t>ORD-10830</t>
  </si>
  <si>
    <t>ORD-10333</t>
  </si>
  <si>
    <t>ORD-10010</t>
  </si>
  <si>
    <t>ORD-10738</t>
  </si>
  <si>
    <t>ORD-10470</t>
  </si>
  <si>
    <t>ORD-10032</t>
  </si>
  <si>
    <t>ORD-10856</t>
  </si>
  <si>
    <t>ORD-10413</t>
  </si>
  <si>
    <t>ORD-10580</t>
  </si>
  <si>
    <t>ayesha raza</t>
  </si>
  <si>
    <t>ORD-10382</t>
  </si>
  <si>
    <t>ORD-10889</t>
  </si>
  <si>
    <t>ORD-10818</t>
  </si>
  <si>
    <t>ORD-10903</t>
  </si>
  <si>
    <t>ORD-11182</t>
  </si>
  <si>
    <t>ORD-10378</t>
  </si>
  <si>
    <t>ORD-10089</t>
  </si>
  <si>
    <t>ORD-10924</t>
  </si>
  <si>
    <t>ORD-10601</t>
  </si>
  <si>
    <t>ORD-10213</t>
  </si>
  <si>
    <t>ORD-10332</t>
  </si>
  <si>
    <t>ORD-10133</t>
  </si>
  <si>
    <t>ORD-10346</t>
  </si>
  <si>
    <t>ORD-10926</t>
  </si>
  <si>
    <t>adeel butt</t>
  </si>
  <si>
    <t>ORD-10007</t>
  </si>
  <si>
    <t>ORD-10907</t>
  </si>
  <si>
    <t>ORD-10320</t>
  </si>
  <si>
    <t>ORD-11084</t>
  </si>
  <si>
    <t>ORD-10187</t>
  </si>
  <si>
    <t>ORD-10634</t>
  </si>
  <si>
    <t>ORD-10552</t>
  </si>
  <si>
    <t>ORD-10304</t>
  </si>
  <si>
    <t>ORD-10031</t>
  </si>
  <si>
    <t>ORD-10899</t>
  </si>
  <si>
    <t>ORD-10684</t>
  </si>
  <si>
    <t>ORD-11106</t>
  </si>
  <si>
    <t>ORD-10067</t>
  </si>
  <si>
    <t>ORD-10174</t>
  </si>
  <si>
    <t>sana ansari</t>
  </si>
  <si>
    <t>ORD-10766</t>
  </si>
  <si>
    <t>ORD-10838</t>
  </si>
  <si>
    <t>ORD-10245</t>
  </si>
  <si>
    <t>ORD-10056</t>
  </si>
  <si>
    <t>ORD-10630</t>
  </si>
  <si>
    <t>ORD-10583</t>
  </si>
  <si>
    <t>ORD-11064</t>
  </si>
  <si>
    <t>ORD-10145</t>
  </si>
  <si>
    <t>ORD-10090</t>
  </si>
  <si>
    <t>ORD-11156</t>
  </si>
  <si>
    <t>ORD-10392</t>
  </si>
  <si>
    <t>ORD-10920</t>
  </si>
  <si>
    <t>ORD-10682</t>
  </si>
  <si>
    <t>ORD-10310</t>
  </si>
  <si>
    <t>ORD-10359</t>
  </si>
  <si>
    <t>ORD-10093</t>
  </si>
  <si>
    <t>ORD-11038</t>
  </si>
  <si>
    <t>ORD-11063</t>
  </si>
  <si>
    <t>ORD-10376</t>
  </si>
  <si>
    <t>ORD-10243</t>
  </si>
  <si>
    <t>ORD-11118</t>
  </si>
  <si>
    <t>ORD-10087</t>
  </si>
  <si>
    <t>ORD-10214</t>
  </si>
  <si>
    <t>ORD-10444</t>
  </si>
  <si>
    <t>ORD-10173</t>
  </si>
  <si>
    <t>ORD-10865</t>
  </si>
  <si>
    <t>ORD-10425</t>
  </si>
  <si>
    <t>ORD-11080</t>
  </si>
  <si>
    <t>ORD-10118</t>
  </si>
  <si>
    <t>ORD-10119</t>
  </si>
  <si>
    <t>ORD-10986</t>
  </si>
  <si>
    <t>ORD-10939</t>
  </si>
  <si>
    <t>ORD-10000</t>
  </si>
  <si>
    <t>ORD-10394</t>
  </si>
  <si>
    <t>ORD-10401</t>
  </si>
  <si>
    <t>ORD-10404</t>
  </si>
  <si>
    <t>ORD-10905</t>
  </si>
  <si>
    <t>ORD-10918</t>
  </si>
  <si>
    <t>ORD-10162</t>
  </si>
  <si>
    <t>ORD-10832</t>
  </si>
  <si>
    <t>ORD-10114</t>
  </si>
  <si>
    <t>ORD-10670</t>
  </si>
  <si>
    <t>ORD-10150</t>
  </si>
  <si>
    <t>ORD-10861</t>
  </si>
  <si>
    <t>ORD-11053</t>
  </si>
  <si>
    <t>ORD-10561</t>
  </si>
  <si>
    <t>ORD-10368</t>
  </si>
  <si>
    <t>ORD-10543</t>
  </si>
  <si>
    <t>ORD-10477</t>
  </si>
  <si>
    <t>HINA FAROOQ</t>
  </si>
  <si>
    <t>ORD-11171</t>
  </si>
  <si>
    <t>ORD-10532</t>
  </si>
  <si>
    <t>ORD-10625</t>
  </si>
  <si>
    <t>ADEEL ANSARI</t>
  </si>
  <si>
    <t>ORD-10512</t>
  </si>
  <si>
    <t>ORD-11097</t>
  </si>
  <si>
    <t>ORD-10072</t>
  </si>
  <si>
    <t>ORD-10982</t>
  </si>
  <si>
    <t>ORD-10807</t>
  </si>
  <si>
    <t>ORD-10258</t>
  </si>
  <si>
    <t>ORD-10624</t>
  </si>
  <si>
    <t>Mahnoor Sheikh</t>
  </si>
  <si>
    <t>ORD-10826</t>
  </si>
  <si>
    <t>ORD-10234</t>
  </si>
  <si>
    <t>ORD-10135</t>
  </si>
  <si>
    <t>ORD-10616</t>
  </si>
  <si>
    <t>ORD-10516</t>
  </si>
  <si>
    <t>ORD-11018</t>
  </si>
  <si>
    <t>ORD-10836</t>
  </si>
  <si>
    <t>ORD-10842</t>
  </si>
  <si>
    <t>ORD-10802</t>
  </si>
  <si>
    <t>ORD-10851</t>
  </si>
  <si>
    <t>ORD-10809</t>
  </si>
  <si>
    <t>ORD-10592</t>
  </si>
  <si>
    <t>ORD-10501</t>
  </si>
  <si>
    <t>ORD-10538</t>
  </si>
  <si>
    <t>ORD-11163</t>
  </si>
  <si>
    <t>ORD-10728</t>
  </si>
  <si>
    <t>ORD-10581</t>
  </si>
  <si>
    <t>ORD-10343</t>
  </si>
  <si>
    <t>ORD-11072</t>
  </si>
  <si>
    <t>ORD-10981</t>
  </si>
  <si>
    <t>ORD-10293</t>
  </si>
  <si>
    <t>ORD-10364</t>
  </si>
  <si>
    <t>KAMRAN RAZA</t>
  </si>
  <si>
    <t>ORD-10925</t>
  </si>
  <si>
    <t>ORD-10659</t>
  </si>
  <si>
    <t>ORD-10014</t>
  </si>
  <si>
    <t>ORD-10686</t>
  </si>
  <si>
    <t>ORD-10086</t>
  </si>
  <si>
    <t xml:space="preserve">  Ayesha Qureshi  </t>
  </si>
  <si>
    <t>ORD-10370</t>
  </si>
  <si>
    <t>ORD-10165</t>
  </si>
  <si>
    <t>ORD-10131</t>
  </si>
  <si>
    <t>ORD-10335</t>
  </si>
  <si>
    <t>ORD-10059</t>
  </si>
  <si>
    <t>ORD-10709</t>
  </si>
  <si>
    <t>ORD-10959</t>
  </si>
  <si>
    <t>ORD-10676</t>
  </si>
  <si>
    <t>ORD-10354</t>
  </si>
  <si>
    <t>ORD-10780</t>
  </si>
  <si>
    <t>ORD-10424</t>
  </si>
  <si>
    <t>ORD-10292</t>
  </si>
  <si>
    <t>ORD-10041</t>
  </si>
  <si>
    <t>ORD-10329</t>
  </si>
  <si>
    <t>ORD-10614</t>
  </si>
  <si>
    <t>ORD-10429</t>
  </si>
  <si>
    <t>ORD-10079</t>
  </si>
  <si>
    <t>ORD-10693</t>
  </si>
  <si>
    <t>ORD-10028</t>
  </si>
  <si>
    <t>ORD-10707</t>
  </si>
  <si>
    <t>ORD-10892</t>
  </si>
  <si>
    <t>ORD-10974</t>
  </si>
  <si>
    <t>ORD-10968</t>
  </si>
  <si>
    <t>ORD-10890</t>
  </si>
  <si>
    <t>ORD-10254</t>
  </si>
  <si>
    <t>ORD-10160</t>
  </si>
  <si>
    <t>ORD-10458</t>
  </si>
  <si>
    <t>ORD-10383</t>
  </si>
  <si>
    <t>ORD-10313</t>
  </si>
  <si>
    <t>ORD-10084</t>
  </si>
  <si>
    <t>ORD-10574</t>
  </si>
  <si>
    <t>ORD-10762</t>
  </si>
  <si>
    <t>ORD-10136</t>
  </si>
  <si>
    <t>ORD-10111</t>
  </si>
  <si>
    <t>ORD-10194</t>
  </si>
  <si>
    <t>ORD-10852</t>
  </si>
  <si>
    <t>ORD-10178</t>
  </si>
  <si>
    <t>ORD-10555</t>
  </si>
  <si>
    <t>ORD-10723</t>
  </si>
  <si>
    <t>ORD-10859</t>
  </si>
  <si>
    <t>ORD-10496</t>
  </si>
  <si>
    <t>ORD-11196</t>
  </si>
  <si>
    <t>ORD-10805</t>
  </si>
  <si>
    <t>ORD-10129</t>
  </si>
  <si>
    <t>ORD-10715</t>
  </si>
  <si>
    <t>ORD-10337</t>
  </si>
  <si>
    <t>ORD-10608</t>
  </si>
  <si>
    <t>ORD-10124</t>
  </si>
  <si>
    <t>ORD-10195</t>
  </si>
  <si>
    <t>ORD-10226</t>
  </si>
  <si>
    <t>ORD-10689</t>
  </si>
  <si>
    <t>ORD-10268</t>
  </si>
  <si>
    <t>ORD-10152</t>
  </si>
  <si>
    <t>ORD-10909</t>
  </si>
  <si>
    <t>ORD-10584</t>
  </si>
  <si>
    <t>ORD-10978</t>
  </si>
  <si>
    <t>ORD-10103</t>
  </si>
  <si>
    <t>ORD-10593</t>
  </si>
  <si>
    <t>ORD-11139</t>
  </si>
  <si>
    <t>ORD-10786</t>
  </si>
  <si>
    <t>ORD-10719</t>
  </si>
  <si>
    <t>ORD-10884</t>
  </si>
  <si>
    <t>SANA RAZA</t>
  </si>
  <si>
    <t>ORD-10776</t>
  </si>
  <si>
    <t>ORD-10976</t>
  </si>
  <si>
    <t>ORD-10849</t>
  </si>
  <si>
    <t>ORD-10894</t>
  </si>
  <si>
    <t>ORD-10227</t>
  </si>
  <si>
    <t>ORD-11162</t>
  </si>
  <si>
    <t>ORD-10301</t>
  </si>
  <si>
    <t>ORD-10854</t>
  </si>
  <si>
    <t>ORD-10275</t>
  </si>
  <si>
    <t>ORD-10126</t>
  </si>
  <si>
    <t>ORD-10405</t>
  </si>
  <si>
    <t>ORD-10775</t>
  </si>
  <si>
    <t>ORD-10821</t>
  </si>
  <si>
    <t>ORD-10711</t>
  </si>
  <si>
    <t>ORD-10765</t>
  </si>
  <si>
    <t>ORD-10683</t>
  </si>
  <si>
    <t>ORD-10749</t>
  </si>
  <si>
    <t>ORD-11165</t>
  </si>
  <si>
    <t>ORD-10036</t>
  </si>
  <si>
    <t>ORD-10139</t>
  </si>
  <si>
    <t>ORD-10303</t>
  </si>
  <si>
    <t>rabia chaudhry</t>
  </si>
  <si>
    <t>ORD-10267</t>
  </si>
  <si>
    <t>ORD-10834</t>
  </si>
  <si>
    <t>ORD-10533</t>
  </si>
  <si>
    <t>ORD-10545</t>
  </si>
  <si>
    <t>ORD-10212</t>
  </si>
  <si>
    <t>ORD-10896</t>
  </si>
  <si>
    <t>ORD-10468</t>
  </si>
  <si>
    <t>ORD-10198</t>
  </si>
  <si>
    <t>ORD-10867</t>
  </si>
  <si>
    <t>ORD-10672</t>
  </si>
  <si>
    <t>ORD-10916</t>
  </si>
  <si>
    <t>ORD-10527</t>
  </si>
  <si>
    <t>ORD-10675</t>
  </si>
  <si>
    <t>ORD-10814</t>
  </si>
  <si>
    <t>ORD-10241</t>
  </si>
  <si>
    <t>ORD-10342</t>
  </si>
  <si>
    <t>ORD-10549</t>
  </si>
  <si>
    <t>ORD-10386</t>
  </si>
  <si>
    <t>Sara Chaudhry</t>
  </si>
  <si>
    <t>ORD-11143</t>
  </si>
  <si>
    <t>ORD-10966</t>
  </si>
  <si>
    <t>ORD-10206</t>
  </si>
  <si>
    <t>ORD-10295</t>
  </si>
  <si>
    <t>ORD-10695</t>
  </si>
  <si>
    <t>ORD-11077</t>
  </si>
  <si>
    <t>ORD-10073</t>
  </si>
  <si>
    <t>ORD-10605</t>
  </si>
  <si>
    <t>ORD-10104</t>
  </si>
  <si>
    <t>ORD-11023</t>
  </si>
  <si>
    <t>ORD-11042</t>
  </si>
  <si>
    <t>ORD-10049</t>
  </si>
  <si>
    <t>ORD-10016</t>
  </si>
  <si>
    <t>ORD-10091</t>
  </si>
  <si>
    <t>ORD-10088</t>
  </si>
  <si>
    <t>ORD-11076</t>
  </si>
  <si>
    <t>ORD-10908</t>
  </si>
  <si>
    <t>ORD-10450</t>
  </si>
  <si>
    <t>ORD-10717</t>
  </si>
  <si>
    <t>ORD-10102</t>
  </si>
  <si>
    <t>ORD-10238</t>
  </si>
  <si>
    <t>ORD-10068</t>
  </si>
  <si>
    <t>ORD-10942</t>
  </si>
  <si>
    <t>ORD-10246</t>
  </si>
  <si>
    <t>ORD-10938</t>
  </si>
  <si>
    <t>ORD-11110</t>
  </si>
  <si>
    <t>ORD-10157</t>
  </si>
  <si>
    <t>ORD-10479</t>
  </si>
  <si>
    <t>ORD-10645</t>
  </si>
  <si>
    <t>ORD-10005</t>
  </si>
  <si>
    <t>ORD-11117</t>
  </si>
  <si>
    <t>ORD-10965</t>
  </si>
  <si>
    <t>ORD-10018</t>
  </si>
  <si>
    <t>ORD-10121</t>
  </si>
  <si>
    <t>ORD-10661</t>
  </si>
  <si>
    <t>ORD-11037</t>
  </si>
  <si>
    <t>ORD-10274</t>
  </si>
  <si>
    <t>ORD-10433</t>
  </si>
  <si>
    <t>ORD-10811</t>
  </si>
  <si>
    <t>ORD-11153</t>
  </si>
  <si>
    <t>ORD-11166</t>
  </si>
  <si>
    <t>ORD-10181</t>
  </si>
  <si>
    <t>ORD-10184</t>
  </si>
  <si>
    <t>sana raza</t>
  </si>
  <si>
    <t>ORD-10406</t>
  </si>
  <si>
    <t>ORD-10520</t>
  </si>
  <si>
    <t>ORD-11003</t>
  </si>
  <si>
    <t>ORD-10380</t>
  </si>
  <si>
    <t>Faisal Raza</t>
  </si>
  <si>
    <t>ORD-10427</t>
  </si>
  <si>
    <t>ORD-10078</t>
  </si>
  <si>
    <t>ORD-11009</t>
  </si>
  <si>
    <t>ORD-10607</t>
  </si>
  <si>
    <t>ORD-11094</t>
  </si>
  <si>
    <t>ORD-11123</t>
  </si>
  <si>
    <t>ORD-11082</t>
  </si>
  <si>
    <t>ORD-10958</t>
  </si>
  <si>
    <t>ORD-10559</t>
  </si>
  <si>
    <t>ORD-10846</t>
  </si>
  <si>
    <t>ORD-10690</t>
  </si>
  <si>
    <t>ORD-11199</t>
  </si>
  <si>
    <t>ORD-11151</t>
  </si>
  <si>
    <t xml:space="preserve">  Zara Chaudhry  </t>
  </si>
  <si>
    <t>ORD-10436</t>
  </si>
  <si>
    <t>ORD-10490</t>
  </si>
  <si>
    <t>ORD-11132</t>
  </si>
  <si>
    <t>ORD-10069</t>
  </si>
  <si>
    <t>ORD-10808</t>
  </si>
  <si>
    <t>ORD-10011</t>
  </si>
  <si>
    <t>ORD-10144</t>
  </si>
  <si>
    <t>ORD-10917</t>
  </si>
  <si>
    <t>ORD-10639</t>
  </si>
  <si>
    <t>ORD-10176</t>
  </si>
  <si>
    <t>ORD-10994</t>
  </si>
  <si>
    <t>ORD-10440</t>
  </si>
  <si>
    <t>ORD-10521</t>
  </si>
  <si>
    <t>ORD-11004</t>
  </si>
  <si>
    <t>ORD-10143</t>
  </si>
  <si>
    <t>ORD-10753</t>
  </si>
  <si>
    <t>ORD-10519</t>
  </si>
  <si>
    <t>ORD-10822</t>
  </si>
  <si>
    <t>ORD-10428</t>
  </si>
  <si>
    <t>ORD-10612</t>
  </si>
  <si>
    <t>ORD-11032</t>
  </si>
  <si>
    <t>ORD-10156</t>
  </si>
  <si>
    <t>ORD-10539</t>
  </si>
  <si>
    <t>ORD-10461</t>
  </si>
  <si>
    <t>ORD-10576</t>
  </si>
  <si>
    <t>ORD-10255</t>
  </si>
  <si>
    <t>ORD-10979</t>
  </si>
  <si>
    <t xml:space="preserve">  Bilal Iqbal  </t>
  </si>
  <si>
    <t>ORD-11006</t>
  </si>
  <si>
    <t>ORD-10560</t>
  </si>
  <si>
    <t>ORD-10208</t>
  </si>
  <si>
    <t>ORD-10910</t>
  </si>
  <si>
    <t>ORD-10001</t>
  </si>
  <si>
    <t>ORD-10269</t>
  </si>
  <si>
    <t>ORD-10265</t>
  </si>
  <si>
    <t>ORD-10914</t>
  </si>
  <si>
    <t>ORD-10230</t>
  </si>
  <si>
    <t>ali sheikh</t>
  </si>
  <si>
    <t>ORD-10864</t>
  </si>
  <si>
    <t>ORD-11066</t>
  </si>
  <si>
    <t>ORD-10873</t>
  </si>
  <si>
    <t>ORD-11103</t>
  </si>
  <si>
    <t>ORD-10398</t>
  </si>
  <si>
    <t>ORD-11126</t>
  </si>
  <si>
    <t>ORD-10045</t>
  </si>
  <si>
    <t>ORD-10161</t>
  </si>
  <si>
    <t>ORD-10991</t>
  </si>
  <si>
    <t>ORD-10629</t>
  </si>
  <si>
    <t>ORD-10288</t>
  </si>
  <si>
    <t>ORD-11059</t>
  </si>
  <si>
    <t>ORD-10575</t>
  </si>
  <si>
    <t>ORD-10850</t>
  </si>
  <si>
    <t>ORD-10911</t>
  </si>
  <si>
    <t>ORD-11119</t>
  </si>
  <si>
    <t>ORD-10932</t>
  </si>
  <si>
    <t>ORD-11100</t>
  </si>
  <si>
    <t>ORD-10247</t>
  </si>
  <si>
    <t>ORD-10476</t>
  </si>
  <si>
    <t>ORD-10085</t>
  </si>
  <si>
    <t>ORD-10469</t>
  </si>
  <si>
    <t>ORD-10225</t>
  </si>
  <si>
    <t>ORD-10774</t>
  </si>
  <si>
    <t>ORD-10331</t>
  </si>
  <si>
    <t>ORD-10233</t>
  </si>
  <si>
    <t>ORD-10588</t>
  </si>
  <si>
    <t>ORD-10475</t>
  </si>
  <si>
    <t>ORD-10599</t>
  </si>
  <si>
    <t>ORD-10421</t>
  </si>
  <si>
    <t>ORD-10182</t>
  </si>
  <si>
    <t>ORD-10988</t>
  </si>
  <si>
    <t>ORD-11000</t>
  </si>
  <si>
    <t>ORD-11158</t>
  </si>
  <si>
    <t>ORD-11029</t>
  </si>
  <si>
    <t>ORD-10529</t>
  </si>
  <si>
    <t>ORD-10486</t>
  </si>
  <si>
    <t>ORD-10497</t>
  </si>
  <si>
    <t>ORD-10106</t>
  </si>
  <si>
    <t>ORD-10443</t>
  </si>
  <si>
    <t>FAISAL BUTT</t>
  </si>
  <si>
    <t>ORD-10646</t>
  </si>
  <si>
    <t>ORD-11036</t>
  </si>
  <si>
    <t>ORD-10726</t>
  </si>
  <si>
    <t>ORD-10190</t>
  </si>
  <si>
    <t>ORD-10282</t>
  </si>
  <si>
    <t>ORD-10029</t>
  </si>
  <si>
    <t>ORD-10169</t>
  </si>
  <si>
    <t>ORD-11001</t>
  </si>
  <si>
    <t>ORD-10100</t>
  </si>
  <si>
    <t>ORD-10197</t>
  </si>
  <si>
    <t>ORD-10495</t>
  </si>
  <si>
    <t>ORD-10647</t>
  </si>
  <si>
    <t>ORD-10987</t>
  </si>
  <si>
    <t>ORD-10710</t>
  </si>
  <si>
    <t>ORD-10373</t>
  </si>
  <si>
    <t>ORD-10678</t>
  </si>
  <si>
    <t>ORD-10566</t>
  </si>
  <si>
    <t>ORD-10847</t>
  </si>
  <si>
    <t>ORD-10460</t>
  </si>
  <si>
    <t>ORD-11155</t>
  </si>
  <si>
    <t>ORD-10039</t>
  </si>
  <si>
    <t>ORD-10434</t>
  </si>
  <si>
    <t>ORD-10973</t>
  </si>
  <si>
    <t>ORD-11007</t>
  </si>
  <si>
    <t>fatima qureshi</t>
  </si>
  <si>
    <t>ORD-10456</t>
  </si>
  <si>
    <t>ORD-10260</t>
  </si>
  <si>
    <t>ORD-10035</t>
  </si>
  <si>
    <t>sara butt</t>
  </si>
  <si>
    <t>ORD-10827</t>
  </si>
  <si>
    <t>ORD-10309</t>
  </si>
  <si>
    <t>ORD-10276</t>
  </si>
  <si>
    <t>ORD-10636</t>
  </si>
  <si>
    <t>ORD-10654</t>
  </si>
  <si>
    <t>ORD-10622</t>
  </si>
  <si>
    <t>ORD-10844</t>
  </si>
  <si>
    <t>ORD-10393</t>
  </si>
  <si>
    <t>nida malik</t>
  </si>
  <si>
    <t>ORD-10349</t>
  </si>
  <si>
    <t>ORD-10524</t>
  </si>
  <si>
    <t>ORD-10784</t>
  </si>
  <si>
    <t>ORD-10047</t>
  </si>
  <si>
    <t>ORD-10203</t>
  </si>
  <si>
    <t>ORD-10021</t>
  </si>
  <si>
    <t>ORD-10402</t>
  </si>
  <si>
    <t>ORD-11107</t>
  </si>
  <si>
    <t>ORD-11154</t>
  </si>
  <si>
    <t>ORD-10989</t>
  </si>
  <si>
    <t>ORD-10741</t>
  </si>
  <si>
    <t>ORD-11147</t>
  </si>
  <si>
    <t>ORD-10033</t>
  </si>
  <si>
    <t>ORD-10787</t>
  </si>
  <si>
    <t>ORD-10923</t>
  </si>
  <si>
    <t>ORD-11043</t>
  </si>
  <si>
    <t>ORD-11195</t>
  </si>
  <si>
    <t>ORD-10579</t>
  </si>
  <si>
    <t>ORD-10481</t>
  </si>
  <si>
    <t>ORD-10931</t>
  </si>
  <si>
    <t>ORD-10356</t>
  </si>
  <si>
    <t>ORD-10759</t>
  </si>
  <si>
    <t>ORD-10092</t>
  </si>
  <si>
    <t>ORD-11175</t>
  </si>
  <si>
    <t>ORD-10803</t>
  </si>
  <si>
    <t>ORD-10745</t>
  </si>
  <si>
    <t>ORD-10279</t>
  </si>
  <si>
    <t>ORD-10764</t>
  </si>
  <si>
    <t>ORD-10604</t>
  </si>
  <si>
    <t>ORD-10400</t>
  </si>
  <si>
    <t>ORD-10257</t>
  </si>
  <si>
    <t>ORD-10944</t>
  </si>
  <si>
    <t>ORD-11096</t>
  </si>
  <si>
    <t>ORD-11161</t>
  </si>
  <si>
    <t>ORD-10494</t>
  </si>
  <si>
    <t>ORD-10772</t>
  </si>
  <si>
    <t>ORD-10550</t>
  </si>
  <si>
    <t>ORD-10201</t>
  </si>
  <si>
    <t>ORD-10312</t>
  </si>
  <si>
    <t>ORD-10290</t>
  </si>
  <si>
    <t>ORD-10763</t>
  </si>
  <si>
    <t>ORD-11136</t>
  </si>
  <si>
    <t>ORD-10949</t>
  </si>
  <si>
    <t>ORD-10183</t>
  </si>
  <si>
    <t>ORD-11176</t>
  </si>
  <si>
    <t>ORD-11068</t>
  </si>
  <si>
    <t>ORD-11030</t>
  </si>
  <si>
    <t>ORD-10250</t>
  </si>
  <si>
    <t>ORD-10823</t>
  </si>
  <si>
    <t>ORD-11099</t>
  </si>
  <si>
    <t>ORD-10940</t>
  </si>
  <si>
    <t>ORD-10391</t>
  </si>
  <si>
    <t>ORD-11092</t>
  </si>
  <si>
    <t>ORD-11191</t>
  </si>
  <si>
    <t>ORD-10904</t>
  </si>
  <si>
    <t>ORD-10730</t>
  </si>
  <si>
    <t>ORD-10554</t>
  </si>
  <si>
    <t>ORD-10366</t>
  </si>
  <si>
    <t>ORD-10345</t>
  </si>
  <si>
    <t>ORD-10535</t>
  </si>
  <si>
    <t>ORD-10919</t>
  </si>
  <si>
    <t>ORD-10211</t>
  </si>
  <si>
    <t>ORD-10502</t>
  </si>
  <si>
    <t>ORD-10537</t>
  </si>
  <si>
    <t>ORD-10175</t>
  </si>
  <si>
    <t>Customer Name (Raw)</t>
  </si>
  <si>
    <t>Customer Name — TRIM+PROPER</t>
  </si>
  <si>
    <t>Discount (Raw)</t>
  </si>
  <si>
    <t>Discount — Validated (IFERROR)</t>
  </si>
  <si>
    <t>Sales — Validated (IFERROR)</t>
  </si>
  <si>
    <t>Excel-Level Cleaning Formulas (initial pass, before SQL)</t>
  </si>
  <si>
    <t>These formulas reference Raw_Data directly and demonstrate TRIM(), PROPER(), and IFERROR() usage. Full/reliable cleaning is done later in SQL — this is the Excel-stage quality pass.</t>
  </si>
  <si>
    <t>TOTAL</t>
  </si>
  <si>
    <t>Order Count</t>
  </si>
  <si>
    <t>Total Sales</t>
  </si>
  <si>
    <t>Total Profit</t>
  </si>
  <si>
    <t>Category-Wise Sales Summary (Pivot-style sanity check)</t>
  </si>
  <si>
    <t>Built with SUMIFS/COUNTIFS against Raw_Data — a quick sanity check before the data moves into SQL.</t>
  </si>
  <si>
    <t>Issue Found</t>
  </si>
  <si>
    <t>Action Taken</t>
  </si>
  <si>
    <t>Duplicate Order IDs (~45 rows)</t>
  </si>
  <si>
    <t>Flagged with conditional formatting here; removed properly in SQL using ROWID/MIN dedup logic (Phase 2).</t>
  </si>
  <si>
    <t>Blank Customer Name / Region / City / Ship Mode / Discount / Profit</t>
  </si>
  <si>
    <t>Flagged with conditional formatting; SQL view fills sensible defaults (e.g. 'Unknown Customer', 0 discount).</t>
  </si>
  <si>
    <t>Inconsistent text casing in Customer Name ('ALI KHAN', 'ali khan', '  Ali Khan  ')</t>
  </si>
  <si>
    <t>TRIM()+PROPER() applied on Cleaning_Formulas sheet; standardized further in SQL.</t>
  </si>
  <si>
    <t>Region typos and case issues ('nort', 'NORTH', ' South ')</t>
  </si>
  <si>
    <t>Standardized to 5 canonical regions in SQL cleaning view using CASE/LOWER/TRIM.</t>
  </si>
  <si>
    <t>Negative Quantity values (data entry errors)</t>
  </si>
  <si>
    <t>Corrected using ABS() in SQL.</t>
  </si>
  <si>
    <t>Discount stored as whole numbers instead of decimals (e.g. 20 instead of 0.20)</t>
  </si>
  <si>
    <t>Detected and divided by 100 where Discount &gt; 1, in both Excel formulas and SQL.</t>
  </si>
  <si>
    <t>Non-numeric 'N/A' values in Sales column</t>
  </si>
  <si>
    <t>IFERROR()+VALUE() fallback in Excel; SQL recomputes Sales = Quantity x Unit Price when invalid.</t>
  </si>
  <si>
    <t>Mixed date formats (YYYY-MM-DD and DD/MM/YYYY)</t>
  </si>
  <si>
    <t>Normalized to ISO format (YYYY-MM-DD) in the SQL cleaning view.</t>
  </si>
  <si>
    <t>One fully blank row</t>
  </si>
  <si>
    <t>Excluded in SQL WHERE clause (Order ID IS NOT NULL).</t>
  </si>
  <si>
    <t>Phase 1 — Data Quality Notes (Excel Review)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</si>
</sst>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4F72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17" fillId="33" borderId="11" xfId="0" applyFont="1" applyFill="1" applyBorder="1"/>
    <xf numFmtId="0" fontId="17" fillId="33" borderId="12" xfId="0" applyFont="1" applyFill="1" applyBorder="1"/>
    <xf numFmtId="0" fontId="17" fillId="33" borderId="13" xfId="0" applyFont="1" applyFill="1" applyBorder="1"/>
    <xf numFmtId="0" fontId="19" fillId="0" borderId="19" xfId="42" applyFont="1" applyBorder="1"/>
    <xf numFmtId="0" fontId="21" fillId="34" borderId="19" xfId="42" applyFont="1" applyFill="1" applyBorder="1" applyAlignment="1">
      <alignment horizontal="center" vertical="center" wrapText="1"/>
    </xf>
    <xf numFmtId="0" fontId="0" fillId="35" borderId="0" xfId="0" applyFill="1"/>
    <xf numFmtId="0" fontId="21" fillId="34" borderId="19" xfId="42" applyFont="1" applyFill="1" applyBorder="1" applyAlignment="1">
      <alignment horizontal="center" vertical="center" wrapText="1"/>
    </xf>
    <xf numFmtId="0" fontId="19" fillId="0" borderId="19" xfId="42" applyFont="1" applyBorder="1"/>
    <xf numFmtId="0" fontId="21" fillId="34" borderId="19" xfId="42" applyFont="1" applyFill="1" applyBorder="1" applyAlignment="1">
      <alignment horizontal="center" vertical="center" wrapText="1"/>
    </xf>
    <xf numFmtId="0" fontId="21" fillId="34" borderId="19" xfId="42" applyFont="1" applyFill="1" applyBorder="1" applyAlignment="1">
      <alignment horizontal="center" vertical="center" wrapText="1"/>
    </xf>
    <xf numFmtId="0" fontId="21" fillId="34" borderId="19" xfId="42" applyFont="1" applyFill="1" applyBorder="1" applyAlignment="1">
      <alignment horizontal="center" vertical="center" wrapText="1"/>
    </xf>
    <xf numFmtId="0" fontId="23" fillId="33" borderId="0" xfId="42" applyFont="1" applyFill="1"/>
    <xf numFmtId="0" fontId="13" fillId="33" borderId="11" xfId="0" applyFont="1" applyFill="1" applyBorder="1"/>
    <xf numFmtId="0" fontId="24" fillId="33" borderId="0" xfId="42" applyFont="1" applyFill="1"/>
    <xf numFmtId="0" fontId="20" fillId="0" borderId="0" xfId="42" applyFont="1"/>
    <xf numFmtId="4" fontId="0" fillId="0" borderId="0" xfId="0" applyNumberFormat="1"/>
    <xf numFmtId="0" fontId="19" fillId="0" borderId="19" xfId="42" applyFont="1" applyBorder="1"/>
    <xf numFmtId="0" fontId="21" fillId="34" borderId="19" xfId="42" applyFont="1" applyFill="1" applyBorder="1" applyAlignment="1">
      <alignment horizontal="center"/>
    </xf>
    <xf numFmtId="0" fontId="22" fillId="0" borderId="19" xfId="42" applyFont="1" applyBorder="1"/>
    <xf numFmtId="0" fontId="21" fillId="34" borderId="19" xfId="42" applyFont="1" applyFill="1" applyBorder="1" applyAlignment="1">
      <alignment horizontal="center"/>
    </xf>
    <xf numFmtId="0" fontId="16" fillId="0" borderId="0" xfId="0" applyFont="1"/>
    <xf numFmtId="4" fontId="16" fillId="0" borderId="0" xfId="0" applyNumberFormat="1" applyFont="1"/>
    <xf numFmtId="0" fontId="21" fillId="34" borderId="19" xfId="42" applyFont="1" applyFill="1" applyBorder="1" applyAlignment="1">
      <alignment vertical="top" wrapText="1"/>
    </xf>
    <xf numFmtId="0" fontId="21" fillId="34" borderId="19" xfId="42" applyFont="1" applyFill="1" applyBorder="1" applyAlignment="1">
      <alignment vertical="top" wrapText="1"/>
    </xf>
    <xf numFmtId="0" fontId="19" fillId="0" borderId="19" xfId="42" applyFont="1" applyBorder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BFD11ED-E76C-4FC6-A7E6-B3538F7B564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FF2D4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mruColors>
      <color rgb="FF1B4F72"/>
      <color rgb="FFE2EFDA"/>
      <color rgb="FFFFF2CC"/>
      <color rgb="FFFFF2D4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7161-870D-4D6C-8AE4-092C9E81F393}">
  <dimension ref="A1:P1247"/>
  <sheetViews>
    <sheetView topLeftCell="B1" workbookViewId="0">
      <selection activeCell="E1" sqref="E1:E1048576"/>
    </sheetView>
  </sheetViews>
  <sheetFormatPr defaultRowHeight="14.5" x14ac:dyDescent="0.35"/>
  <cols>
    <col min="1" max="1" width="10.1796875" bestFit="1" customWidth="1"/>
    <col min="2" max="3" width="10.08984375" bestFit="1" customWidth="1"/>
    <col min="4" max="4" width="13.08984375" bestFit="1" customWidth="1"/>
    <col min="5" max="5" width="15.08984375" bestFit="1" customWidth="1"/>
    <col min="6" max="6" width="10.90625" bestFit="1" customWidth="1"/>
    <col min="7" max="7" width="8.36328125" bestFit="1" customWidth="1"/>
    <col min="8" max="8" width="9.90625" bestFit="1" customWidth="1"/>
    <col min="9" max="9" width="13" bestFit="1" customWidth="1"/>
    <col min="10" max="10" width="11.7265625" bestFit="1" customWidth="1"/>
    <col min="11" max="11" width="20.6328125" bestFit="1" customWidth="1"/>
    <col min="12" max="12" width="7.7265625" bestFit="1" customWidth="1"/>
    <col min="14" max="14" width="8.08984375" bestFit="1" customWidth="1"/>
    <col min="15" max="15" width="8.81640625" bestFit="1" customWidth="1"/>
    <col min="16" max="16" width="8.45312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2" t="s">
        <v>15</v>
      </c>
    </row>
    <row r="2" spans="1:16" x14ac:dyDescent="0.35">
      <c r="A2" s="4" t="s">
        <v>16</v>
      </c>
      <c r="B2" s="3">
        <v>45312</v>
      </c>
      <c r="C2" s="3">
        <v>45319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3</v>
      </c>
      <c r="M2" s="2">
        <v>641.92999999999995</v>
      </c>
      <c r="N2" s="2">
        <v>0</v>
      </c>
      <c r="O2" s="2">
        <v>1925.79</v>
      </c>
      <c r="P2" s="5">
        <v>-246.6</v>
      </c>
    </row>
    <row r="3" spans="1:16" x14ac:dyDescent="0.35">
      <c r="A3" s="4" t="s">
        <v>25</v>
      </c>
      <c r="B3" s="3">
        <v>45137</v>
      </c>
      <c r="C3" s="3">
        <v>45140</v>
      </c>
      <c r="D3" s="2" t="s">
        <v>17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>
        <v>6</v>
      </c>
      <c r="M3" s="2">
        <v>367.57</v>
      </c>
      <c r="N3" s="2">
        <v>0</v>
      </c>
      <c r="O3" s="2">
        <v>2205.42</v>
      </c>
      <c r="P3" s="5">
        <v>457.55</v>
      </c>
    </row>
    <row r="4" spans="1:16" x14ac:dyDescent="0.35">
      <c r="A4" s="4" t="s">
        <v>33</v>
      </c>
      <c r="B4" s="3">
        <v>45329</v>
      </c>
      <c r="C4" s="3">
        <v>45335</v>
      </c>
      <c r="D4" s="2" t="s">
        <v>17</v>
      </c>
      <c r="E4" s="2" t="s">
        <v>34</v>
      </c>
      <c r="F4" s="2" t="s">
        <v>35</v>
      </c>
      <c r="G4" s="2" t="s">
        <v>20</v>
      </c>
      <c r="H4" s="2" t="s">
        <v>36</v>
      </c>
      <c r="I4" s="2" t="s">
        <v>22</v>
      </c>
      <c r="J4" s="2" t="s">
        <v>37</v>
      </c>
      <c r="K4" s="2" t="s">
        <v>38</v>
      </c>
      <c r="L4" s="2">
        <v>10</v>
      </c>
      <c r="M4" s="2">
        <v>139.55000000000001</v>
      </c>
      <c r="N4" s="2">
        <v>0</v>
      </c>
      <c r="O4" s="2">
        <v>1395.5</v>
      </c>
      <c r="P4" s="5">
        <v>155.47999999999999</v>
      </c>
    </row>
    <row r="5" spans="1:16" x14ac:dyDescent="0.35">
      <c r="A5" s="4" t="s">
        <v>39</v>
      </c>
      <c r="B5" s="3">
        <v>45355</v>
      </c>
      <c r="C5" s="3">
        <v>45357</v>
      </c>
      <c r="D5" s="2" t="s">
        <v>17</v>
      </c>
      <c r="E5" s="2" t="s">
        <v>40</v>
      </c>
      <c r="F5" s="2" t="s">
        <v>27</v>
      </c>
      <c r="G5" s="2" t="s">
        <v>20</v>
      </c>
      <c r="H5" s="2" t="s">
        <v>21</v>
      </c>
      <c r="I5" s="2" t="s">
        <v>30</v>
      </c>
      <c r="J5" s="2" t="s">
        <v>41</v>
      </c>
      <c r="K5" s="2" t="s">
        <v>42</v>
      </c>
      <c r="L5" s="2">
        <v>5</v>
      </c>
      <c r="M5" s="2">
        <v>427.49</v>
      </c>
      <c r="N5" s="2">
        <v>0.15</v>
      </c>
      <c r="O5" s="2">
        <v>2137.4499999999998</v>
      </c>
      <c r="P5" s="5">
        <v>-212.93</v>
      </c>
    </row>
    <row r="6" spans="1:16" x14ac:dyDescent="0.35">
      <c r="A6" s="4" t="s">
        <v>43</v>
      </c>
      <c r="B6" s="3">
        <v>45186</v>
      </c>
      <c r="C6" s="3">
        <v>45191</v>
      </c>
      <c r="D6" s="2" t="s">
        <v>44</v>
      </c>
      <c r="E6" s="2"/>
      <c r="F6" s="2" t="s">
        <v>19</v>
      </c>
      <c r="G6" s="2" t="s">
        <v>45</v>
      </c>
      <c r="H6" s="2" t="s">
        <v>46</v>
      </c>
      <c r="I6" s="2" t="s">
        <v>30</v>
      </c>
      <c r="J6" s="2" t="s">
        <v>47</v>
      </c>
      <c r="K6" s="2" t="s">
        <v>48</v>
      </c>
      <c r="L6" s="2">
        <v>1</v>
      </c>
      <c r="M6" s="2">
        <v>896.19</v>
      </c>
      <c r="N6" s="2">
        <v>0.2</v>
      </c>
      <c r="O6" s="2">
        <v>896.19</v>
      </c>
      <c r="P6" s="5">
        <v>-21.04</v>
      </c>
    </row>
    <row r="7" spans="1:16" x14ac:dyDescent="0.35">
      <c r="A7" s="4" t="s">
        <v>49</v>
      </c>
      <c r="B7" s="3">
        <v>45371</v>
      </c>
      <c r="C7" s="3">
        <v>45377</v>
      </c>
      <c r="D7" s="2" t="s">
        <v>44</v>
      </c>
      <c r="E7" s="2" t="s">
        <v>50</v>
      </c>
      <c r="F7" s="2" t="s">
        <v>19</v>
      </c>
      <c r="G7" s="2" t="s">
        <v>51</v>
      </c>
      <c r="H7" s="2" t="s">
        <v>21</v>
      </c>
      <c r="I7" s="2" t="s">
        <v>52</v>
      </c>
      <c r="J7" s="2" t="s">
        <v>53</v>
      </c>
      <c r="K7" s="2" t="s">
        <v>54</v>
      </c>
      <c r="L7" s="2">
        <v>10</v>
      </c>
      <c r="M7" s="2">
        <v>682.06</v>
      </c>
      <c r="N7" s="2">
        <v>0</v>
      </c>
      <c r="O7" s="2">
        <v>6820.6</v>
      </c>
      <c r="P7" s="5">
        <v>1989.09</v>
      </c>
    </row>
    <row r="8" spans="1:16" x14ac:dyDescent="0.35">
      <c r="A8" s="4" t="s">
        <v>55</v>
      </c>
      <c r="B8" s="3">
        <v>45236</v>
      </c>
      <c r="C8" s="3">
        <v>45241</v>
      </c>
      <c r="D8" s="2" t="s">
        <v>44</v>
      </c>
      <c r="E8" s="2" t="s">
        <v>56</v>
      </c>
      <c r="F8" s="2" t="s">
        <v>19</v>
      </c>
      <c r="G8" s="2" t="s">
        <v>51</v>
      </c>
      <c r="H8" s="2" t="s">
        <v>36</v>
      </c>
      <c r="I8" s="2" t="s">
        <v>30</v>
      </c>
      <c r="J8" s="2" t="s">
        <v>31</v>
      </c>
      <c r="K8" s="2" t="s">
        <v>57</v>
      </c>
      <c r="L8" s="2">
        <v>9</v>
      </c>
      <c r="M8" s="2">
        <v>410.64</v>
      </c>
      <c r="N8" s="2">
        <v>0.3</v>
      </c>
      <c r="O8" s="2">
        <v>3695.76</v>
      </c>
      <c r="P8" s="5">
        <v>457.47</v>
      </c>
    </row>
    <row r="9" spans="1:16" x14ac:dyDescent="0.35">
      <c r="A9" s="4" t="s">
        <v>58</v>
      </c>
      <c r="B9" s="3">
        <v>45275</v>
      </c>
      <c r="C9" s="3">
        <v>45280</v>
      </c>
      <c r="D9" s="2" t="s">
        <v>59</v>
      </c>
      <c r="E9" s="2" t="s">
        <v>60</v>
      </c>
      <c r="F9" s="2" t="s">
        <v>35</v>
      </c>
      <c r="G9" s="2" t="s">
        <v>61</v>
      </c>
      <c r="H9" s="2" t="s">
        <v>62</v>
      </c>
      <c r="I9" s="2" t="s">
        <v>30</v>
      </c>
      <c r="J9" s="2" t="s">
        <v>47</v>
      </c>
      <c r="K9" s="2" t="s">
        <v>63</v>
      </c>
      <c r="L9" s="2">
        <v>6</v>
      </c>
      <c r="M9" s="2">
        <v>499.97</v>
      </c>
      <c r="N9" s="2">
        <v>0.1</v>
      </c>
      <c r="O9" s="2">
        <v>2999.82</v>
      </c>
      <c r="P9" s="5">
        <v>197.76</v>
      </c>
    </row>
    <row r="10" spans="1:16" x14ac:dyDescent="0.35">
      <c r="A10" s="4" t="s">
        <v>64</v>
      </c>
      <c r="B10" s="3">
        <v>45422</v>
      </c>
      <c r="C10" s="3">
        <v>45425</v>
      </c>
      <c r="D10" s="2" t="s">
        <v>65</v>
      </c>
      <c r="E10" s="2" t="s">
        <v>66</v>
      </c>
      <c r="F10" s="2" t="s">
        <v>19</v>
      </c>
      <c r="G10" s="2" t="s">
        <v>67</v>
      </c>
      <c r="H10" s="2" t="s">
        <v>36</v>
      </c>
      <c r="I10" s="2" t="s">
        <v>52</v>
      </c>
      <c r="J10" s="2" t="s">
        <v>68</v>
      </c>
      <c r="K10" s="2" t="s">
        <v>69</v>
      </c>
      <c r="L10" s="2">
        <v>7</v>
      </c>
      <c r="M10" s="2">
        <v>214.04</v>
      </c>
      <c r="N10" s="2">
        <v>0.3</v>
      </c>
      <c r="O10" s="2">
        <v>1498.28</v>
      </c>
      <c r="P10" s="5">
        <v>82.99</v>
      </c>
    </row>
    <row r="11" spans="1:16" x14ac:dyDescent="0.35">
      <c r="A11" s="4" t="s">
        <v>70</v>
      </c>
      <c r="B11" s="3">
        <v>45339</v>
      </c>
      <c r="C11" s="3">
        <v>45340</v>
      </c>
      <c r="D11" s="2" t="s">
        <v>44</v>
      </c>
      <c r="E11" s="2" t="s">
        <v>71</v>
      </c>
      <c r="F11" s="2" t="s">
        <v>35</v>
      </c>
      <c r="G11" s="2" t="s">
        <v>72</v>
      </c>
      <c r="H11" s="2" t="s">
        <v>73</v>
      </c>
      <c r="I11" s="2" t="s">
        <v>22</v>
      </c>
      <c r="J11" s="2" t="s">
        <v>74</v>
      </c>
      <c r="K11" s="2" t="s">
        <v>75</v>
      </c>
      <c r="L11" s="2">
        <v>2</v>
      </c>
      <c r="M11" s="2">
        <v>744.77</v>
      </c>
      <c r="N11" s="2">
        <v>0.3</v>
      </c>
      <c r="O11" s="2">
        <v>1489.54</v>
      </c>
      <c r="P11" s="5">
        <v>395.11</v>
      </c>
    </row>
    <row r="12" spans="1:16" x14ac:dyDescent="0.35">
      <c r="A12" s="4" t="s">
        <v>76</v>
      </c>
      <c r="B12" s="3">
        <v>45537</v>
      </c>
      <c r="C12" s="3">
        <v>45544</v>
      </c>
      <c r="D12" s="2" t="s">
        <v>44</v>
      </c>
      <c r="E12" s="2" t="s">
        <v>77</v>
      </c>
      <c r="F12" s="2" t="s">
        <v>35</v>
      </c>
      <c r="G12" s="2" t="s">
        <v>72</v>
      </c>
      <c r="H12" s="2" t="s">
        <v>62</v>
      </c>
      <c r="I12" s="2" t="s">
        <v>52</v>
      </c>
      <c r="J12" s="2" t="s">
        <v>78</v>
      </c>
      <c r="K12" s="2" t="s">
        <v>79</v>
      </c>
      <c r="L12" s="2">
        <v>5</v>
      </c>
      <c r="M12" s="2">
        <v>513.91999999999996</v>
      </c>
      <c r="N12" s="2">
        <v>0</v>
      </c>
      <c r="O12" s="2">
        <v>2569.6</v>
      </c>
      <c r="P12" s="5">
        <v>397.81</v>
      </c>
    </row>
    <row r="13" spans="1:16" x14ac:dyDescent="0.35">
      <c r="A13" s="4" t="s">
        <v>80</v>
      </c>
      <c r="B13" s="3">
        <v>45488</v>
      </c>
      <c r="C13" s="3">
        <v>45492</v>
      </c>
      <c r="D13" s="2" t="s">
        <v>17</v>
      </c>
      <c r="E13" s="2" t="s">
        <v>81</v>
      </c>
      <c r="F13" s="2" t="s">
        <v>27</v>
      </c>
      <c r="G13" s="2" t="s">
        <v>82</v>
      </c>
      <c r="H13" s="2" t="s">
        <v>83</v>
      </c>
      <c r="I13" s="2" t="s">
        <v>30</v>
      </c>
      <c r="J13" s="2" t="s">
        <v>47</v>
      </c>
      <c r="K13" s="2" t="s">
        <v>63</v>
      </c>
      <c r="L13" s="2">
        <v>4</v>
      </c>
      <c r="M13" s="2">
        <v>249.91</v>
      </c>
      <c r="N13" s="2">
        <v>0</v>
      </c>
      <c r="O13" s="2">
        <v>999.64</v>
      </c>
      <c r="P13" s="5">
        <v>38.56</v>
      </c>
    </row>
    <row r="14" spans="1:16" x14ac:dyDescent="0.35">
      <c r="A14" s="4" t="s">
        <v>84</v>
      </c>
      <c r="B14" s="3">
        <v>45409</v>
      </c>
      <c r="C14" s="3">
        <v>45416</v>
      </c>
      <c r="D14" s="2" t="s">
        <v>44</v>
      </c>
      <c r="E14" s="2" t="s">
        <v>85</v>
      </c>
      <c r="F14" s="2" t="s">
        <v>35</v>
      </c>
      <c r="G14" s="2" t="s">
        <v>86</v>
      </c>
      <c r="H14" s="2" t="s">
        <v>29</v>
      </c>
      <c r="I14" s="2" t="s">
        <v>30</v>
      </c>
      <c r="J14" s="2" t="s">
        <v>31</v>
      </c>
      <c r="K14" s="2" t="s">
        <v>87</v>
      </c>
      <c r="L14" s="2">
        <v>2</v>
      </c>
      <c r="M14" s="2">
        <v>510.82</v>
      </c>
      <c r="N14" s="2">
        <v>0</v>
      </c>
      <c r="O14" s="2">
        <v>1021.64</v>
      </c>
      <c r="P14" s="5">
        <v>-35.090000000000003</v>
      </c>
    </row>
    <row r="15" spans="1:16" x14ac:dyDescent="0.35">
      <c r="A15" s="4" t="s">
        <v>88</v>
      </c>
      <c r="B15" s="3">
        <v>45012</v>
      </c>
      <c r="C15" s="3">
        <v>45018</v>
      </c>
      <c r="D15" s="2" t="s">
        <v>65</v>
      </c>
      <c r="E15" s="2" t="s">
        <v>89</v>
      </c>
      <c r="F15" s="2" t="s">
        <v>35</v>
      </c>
      <c r="G15" s="2" t="s">
        <v>90</v>
      </c>
      <c r="H15" s="2" t="s">
        <v>73</v>
      </c>
      <c r="I15" s="2" t="s">
        <v>52</v>
      </c>
      <c r="J15" s="2" t="s">
        <v>53</v>
      </c>
      <c r="K15" s="2" t="s">
        <v>91</v>
      </c>
      <c r="L15" s="2">
        <v>11</v>
      </c>
      <c r="M15" s="2">
        <v>735.25</v>
      </c>
      <c r="N15" s="2">
        <v>0.3</v>
      </c>
      <c r="O15" s="2">
        <v>8087.75</v>
      </c>
      <c r="P15" s="5">
        <v>224.37</v>
      </c>
    </row>
    <row r="16" spans="1:16" x14ac:dyDescent="0.35">
      <c r="A16" s="4" t="s">
        <v>92</v>
      </c>
      <c r="B16" s="3">
        <v>44974</v>
      </c>
      <c r="C16" s="3">
        <v>44975</v>
      </c>
      <c r="D16" s="2" t="s">
        <v>44</v>
      </c>
      <c r="E16" s="2" t="s">
        <v>93</v>
      </c>
      <c r="F16" s="2" t="s">
        <v>27</v>
      </c>
      <c r="G16" s="2" t="s">
        <v>67</v>
      </c>
      <c r="H16" s="2" t="s">
        <v>21</v>
      </c>
      <c r="I16" s="2" t="s">
        <v>30</v>
      </c>
      <c r="J16" s="2" t="s">
        <v>47</v>
      </c>
      <c r="K16" s="2" t="s">
        <v>94</v>
      </c>
      <c r="L16" s="2">
        <v>3</v>
      </c>
      <c r="M16" s="2">
        <v>678.27</v>
      </c>
      <c r="N16" s="2">
        <v>0.2</v>
      </c>
      <c r="O16" s="2">
        <v>2034.81</v>
      </c>
      <c r="P16" s="5">
        <v>529.97</v>
      </c>
    </row>
    <row r="17" spans="1:16" x14ac:dyDescent="0.35">
      <c r="A17" s="4" t="s">
        <v>95</v>
      </c>
      <c r="B17" s="3">
        <v>44957</v>
      </c>
      <c r="C17" s="3">
        <v>44964</v>
      </c>
      <c r="D17" s="2" t="s">
        <v>65</v>
      </c>
      <c r="E17" s="2" t="s">
        <v>81</v>
      </c>
      <c r="F17" s="2" t="s">
        <v>19</v>
      </c>
      <c r="G17" s="2" t="s">
        <v>51</v>
      </c>
      <c r="H17" s="2" t="s">
        <v>36</v>
      </c>
      <c r="I17" s="2" t="s">
        <v>52</v>
      </c>
      <c r="J17" s="2" t="s">
        <v>78</v>
      </c>
      <c r="K17" s="2" t="s">
        <v>96</v>
      </c>
      <c r="L17" s="2">
        <v>4</v>
      </c>
      <c r="M17" s="2">
        <v>100.56</v>
      </c>
      <c r="N17" s="2">
        <v>0</v>
      </c>
      <c r="O17" s="2">
        <v>402.24</v>
      </c>
      <c r="P17" s="5">
        <v>-55.07</v>
      </c>
    </row>
    <row r="18" spans="1:16" x14ac:dyDescent="0.35">
      <c r="A18" s="4" t="s">
        <v>97</v>
      </c>
      <c r="B18" s="3">
        <v>45464</v>
      </c>
      <c r="C18" s="3">
        <v>45467</v>
      </c>
      <c r="D18" s="2" t="s">
        <v>65</v>
      </c>
      <c r="E18" s="2" t="s">
        <v>98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99</v>
      </c>
      <c r="K18" s="2" t="s">
        <v>100</v>
      </c>
      <c r="L18" s="2">
        <v>1</v>
      </c>
      <c r="M18" s="2">
        <v>720.13</v>
      </c>
      <c r="N18" s="2">
        <v>0.15</v>
      </c>
      <c r="O18" s="2">
        <v>720.13</v>
      </c>
      <c r="P18" s="5">
        <v>-52.54</v>
      </c>
    </row>
    <row r="19" spans="1:16" x14ac:dyDescent="0.35">
      <c r="A19" s="4" t="s">
        <v>101</v>
      </c>
      <c r="B19" s="3">
        <v>44967</v>
      </c>
      <c r="C19" s="3">
        <v>44973</v>
      </c>
      <c r="D19" s="2" t="s">
        <v>65</v>
      </c>
      <c r="E19" s="2" t="s">
        <v>102</v>
      </c>
      <c r="F19" s="2" t="s">
        <v>19</v>
      </c>
      <c r="G19" s="2" t="s">
        <v>103</v>
      </c>
      <c r="H19" s="2" t="s">
        <v>73</v>
      </c>
      <c r="I19" s="2" t="s">
        <v>30</v>
      </c>
      <c r="J19" s="2" t="s">
        <v>47</v>
      </c>
      <c r="K19" s="2" t="s">
        <v>48</v>
      </c>
      <c r="L19" s="2">
        <v>7</v>
      </c>
      <c r="M19" s="2">
        <v>220.41</v>
      </c>
      <c r="N19" s="2">
        <v>0</v>
      </c>
      <c r="O19" s="2">
        <v>1542.87</v>
      </c>
      <c r="P19" s="5">
        <v>245.56</v>
      </c>
    </row>
    <row r="20" spans="1:16" x14ac:dyDescent="0.35">
      <c r="A20" s="4" t="s">
        <v>104</v>
      </c>
      <c r="B20" s="3">
        <v>45585</v>
      </c>
      <c r="C20" s="3">
        <v>45587</v>
      </c>
      <c r="D20" s="2" t="s">
        <v>59</v>
      </c>
      <c r="E20" s="2" t="s">
        <v>40</v>
      </c>
      <c r="F20" s="2" t="s">
        <v>27</v>
      </c>
      <c r="G20" s="2" t="s">
        <v>61</v>
      </c>
      <c r="H20" s="2" t="s">
        <v>62</v>
      </c>
      <c r="I20" s="2" t="s">
        <v>30</v>
      </c>
      <c r="J20" s="2" t="s">
        <v>41</v>
      </c>
      <c r="K20" s="2" t="s">
        <v>105</v>
      </c>
      <c r="L20" s="2">
        <v>6</v>
      </c>
      <c r="M20" s="2">
        <v>873.28</v>
      </c>
      <c r="N20" s="2">
        <v>0</v>
      </c>
      <c r="O20" s="2">
        <v>5239.68</v>
      </c>
      <c r="P20" s="5">
        <v>542.12</v>
      </c>
    </row>
    <row r="21" spans="1:16" x14ac:dyDescent="0.35">
      <c r="A21" s="4" t="s">
        <v>106</v>
      </c>
      <c r="B21" s="3">
        <v>45625</v>
      </c>
      <c r="C21" s="3">
        <v>45628</v>
      </c>
      <c r="D21" s="2" t="s">
        <v>44</v>
      </c>
      <c r="E21" s="2" t="s">
        <v>71</v>
      </c>
      <c r="F21" s="2" t="s">
        <v>35</v>
      </c>
      <c r="G21" s="2" t="s">
        <v>107</v>
      </c>
      <c r="H21" s="2" t="s">
        <v>83</v>
      </c>
      <c r="I21" s="2" t="s">
        <v>52</v>
      </c>
      <c r="J21" s="2" t="s">
        <v>68</v>
      </c>
      <c r="K21" s="2" t="s">
        <v>108</v>
      </c>
      <c r="L21" s="2">
        <v>10</v>
      </c>
      <c r="M21" s="2">
        <v>250.47</v>
      </c>
      <c r="N21" s="2">
        <v>0</v>
      </c>
      <c r="O21" s="2">
        <v>2504.6999999999998</v>
      </c>
      <c r="P21" s="5">
        <v>449.88</v>
      </c>
    </row>
    <row r="22" spans="1:16" x14ac:dyDescent="0.35">
      <c r="A22" s="4" t="s">
        <v>109</v>
      </c>
      <c r="B22" s="3">
        <v>45589</v>
      </c>
      <c r="C22" s="3">
        <v>45591</v>
      </c>
      <c r="D22" s="2" t="s">
        <v>17</v>
      </c>
      <c r="E22" s="2" t="s">
        <v>110</v>
      </c>
      <c r="F22" s="2" t="s">
        <v>27</v>
      </c>
      <c r="G22" s="2" t="s">
        <v>111</v>
      </c>
      <c r="H22" s="2" t="s">
        <v>112</v>
      </c>
      <c r="I22" s="2" t="s">
        <v>30</v>
      </c>
      <c r="J22" s="2" t="s">
        <v>47</v>
      </c>
      <c r="K22" s="2" t="s">
        <v>94</v>
      </c>
      <c r="L22" s="2">
        <v>7</v>
      </c>
      <c r="M22" s="2">
        <v>149.87</v>
      </c>
      <c r="N22" s="2">
        <v>0.1</v>
      </c>
      <c r="O22" s="2">
        <v>1049.0899999999999</v>
      </c>
      <c r="P22" s="5">
        <v>-50.31</v>
      </c>
    </row>
    <row r="23" spans="1:16" x14ac:dyDescent="0.35">
      <c r="A23" s="4" t="s">
        <v>113</v>
      </c>
      <c r="B23" s="3">
        <v>45034</v>
      </c>
      <c r="C23" s="3">
        <v>45041</v>
      </c>
      <c r="D23" s="2" t="s">
        <v>65</v>
      </c>
      <c r="E23" s="2" t="s">
        <v>114</v>
      </c>
      <c r="F23" s="2" t="s">
        <v>19</v>
      </c>
      <c r="G23" s="2" t="s">
        <v>107</v>
      </c>
      <c r="H23" s="2" t="s">
        <v>83</v>
      </c>
      <c r="I23" s="2" t="s">
        <v>22</v>
      </c>
      <c r="J23" s="2" t="s">
        <v>115</v>
      </c>
      <c r="K23" s="2" t="s">
        <v>116</v>
      </c>
      <c r="L23" s="2">
        <v>9</v>
      </c>
      <c r="M23" s="2">
        <v>317.27</v>
      </c>
      <c r="N23" s="2">
        <v>0.15</v>
      </c>
      <c r="O23" s="2">
        <v>2855.43</v>
      </c>
      <c r="P23" s="5">
        <v>807.23</v>
      </c>
    </row>
    <row r="24" spans="1:16" x14ac:dyDescent="0.35">
      <c r="A24" s="4" t="s">
        <v>117</v>
      </c>
      <c r="B24" s="3">
        <v>45372</v>
      </c>
      <c r="C24" s="3">
        <v>45373</v>
      </c>
      <c r="D24" s="2"/>
      <c r="E24" s="2" t="s">
        <v>118</v>
      </c>
      <c r="F24" s="2" t="s">
        <v>27</v>
      </c>
      <c r="G24" s="2" t="s">
        <v>51</v>
      </c>
      <c r="H24" s="2" t="s">
        <v>36</v>
      </c>
      <c r="I24" s="2" t="s">
        <v>22</v>
      </c>
      <c r="J24" s="2" t="s">
        <v>115</v>
      </c>
      <c r="K24" s="2" t="s">
        <v>116</v>
      </c>
      <c r="L24" s="2">
        <v>9</v>
      </c>
      <c r="M24" s="2">
        <v>575.49</v>
      </c>
      <c r="N24" s="2">
        <v>0.3</v>
      </c>
      <c r="O24" s="2">
        <v>5179.41</v>
      </c>
      <c r="P24" s="5">
        <v>341.29</v>
      </c>
    </row>
    <row r="25" spans="1:16" x14ac:dyDescent="0.35">
      <c r="A25" s="4" t="s">
        <v>119</v>
      </c>
      <c r="B25" s="3">
        <v>45620</v>
      </c>
      <c r="C25" s="3">
        <v>45625</v>
      </c>
      <c r="D25" s="2" t="s">
        <v>65</v>
      </c>
      <c r="E25" s="2" t="s">
        <v>120</v>
      </c>
      <c r="F25" s="2" t="s">
        <v>27</v>
      </c>
      <c r="G25" s="2" t="s">
        <v>61</v>
      </c>
      <c r="H25" s="2" t="s">
        <v>73</v>
      </c>
      <c r="I25" s="2" t="s">
        <v>30</v>
      </c>
      <c r="J25" s="2" t="s">
        <v>47</v>
      </c>
      <c r="K25" s="2" t="s">
        <v>48</v>
      </c>
      <c r="L25" s="2">
        <v>5</v>
      </c>
      <c r="M25" s="2">
        <v>272.14</v>
      </c>
      <c r="N25" s="2">
        <v>0</v>
      </c>
      <c r="O25" s="2">
        <v>1360.7</v>
      </c>
      <c r="P25" s="5">
        <v>123.65</v>
      </c>
    </row>
    <row r="26" spans="1:16" x14ac:dyDescent="0.35">
      <c r="A26" s="4" t="s">
        <v>121</v>
      </c>
      <c r="B26" s="3">
        <v>45116</v>
      </c>
      <c r="C26" s="3">
        <v>45118</v>
      </c>
      <c r="D26" s="2" t="s">
        <v>65</v>
      </c>
      <c r="E26" s="2" t="s">
        <v>122</v>
      </c>
      <c r="F26" s="2" t="s">
        <v>19</v>
      </c>
      <c r="G26" s="2" t="s">
        <v>82</v>
      </c>
      <c r="H26" s="2" t="s">
        <v>123</v>
      </c>
      <c r="I26" s="2" t="s">
        <v>30</v>
      </c>
      <c r="J26" s="2" t="s">
        <v>41</v>
      </c>
      <c r="K26" s="2" t="s">
        <v>124</v>
      </c>
      <c r="L26" s="2">
        <v>1</v>
      </c>
      <c r="M26" s="2">
        <v>102.45</v>
      </c>
      <c r="N26" s="2">
        <v>0</v>
      </c>
      <c r="O26" s="2">
        <v>102.45</v>
      </c>
      <c r="P26" s="5">
        <v>-7.1</v>
      </c>
    </row>
    <row r="27" spans="1:16" x14ac:dyDescent="0.35">
      <c r="A27" s="4" t="s">
        <v>125</v>
      </c>
      <c r="B27" s="3">
        <v>45210</v>
      </c>
      <c r="C27" s="3">
        <v>45216</v>
      </c>
      <c r="D27" s="2" t="s">
        <v>59</v>
      </c>
      <c r="E27" s="2" t="s">
        <v>126</v>
      </c>
      <c r="F27" s="2" t="s">
        <v>27</v>
      </c>
      <c r="G27" s="2" t="s">
        <v>107</v>
      </c>
      <c r="H27" s="2" t="s">
        <v>83</v>
      </c>
      <c r="I27" s="2" t="s">
        <v>22</v>
      </c>
      <c r="J27" s="2" t="s">
        <v>115</v>
      </c>
      <c r="K27" s="2" t="s">
        <v>116</v>
      </c>
      <c r="L27" s="2">
        <v>4</v>
      </c>
      <c r="M27" s="2">
        <v>468.39</v>
      </c>
      <c r="N27" s="2">
        <v>0.15</v>
      </c>
      <c r="O27" s="2">
        <v>1873.56</v>
      </c>
      <c r="P27" s="5">
        <v>-104.31</v>
      </c>
    </row>
    <row r="28" spans="1:16" x14ac:dyDescent="0.35">
      <c r="A28" s="4" t="s">
        <v>127</v>
      </c>
      <c r="B28" s="3">
        <v>45562</v>
      </c>
      <c r="C28" s="3">
        <v>45565</v>
      </c>
      <c r="D28" s="2" t="s">
        <v>44</v>
      </c>
      <c r="E28" s="2" t="s">
        <v>66</v>
      </c>
      <c r="F28" s="2" t="s">
        <v>19</v>
      </c>
      <c r="G28" s="2" t="s">
        <v>128</v>
      </c>
      <c r="H28" s="2" t="s">
        <v>129</v>
      </c>
      <c r="I28" s="2" t="s">
        <v>30</v>
      </c>
      <c r="J28" s="2" t="s">
        <v>47</v>
      </c>
      <c r="K28" s="2" t="s">
        <v>63</v>
      </c>
      <c r="L28" s="2">
        <v>3</v>
      </c>
      <c r="M28" s="2">
        <v>53.46</v>
      </c>
      <c r="N28" s="2">
        <v>0.3</v>
      </c>
      <c r="O28" s="2">
        <v>160.38</v>
      </c>
      <c r="P28" s="5">
        <v>9.8800000000000008</v>
      </c>
    </row>
    <row r="29" spans="1:16" x14ac:dyDescent="0.35">
      <c r="A29" s="4" t="s">
        <v>130</v>
      </c>
      <c r="B29" s="3">
        <v>45254</v>
      </c>
      <c r="C29" s="3">
        <v>45257</v>
      </c>
      <c r="D29" s="2" t="s">
        <v>17</v>
      </c>
      <c r="E29" s="2" t="s">
        <v>131</v>
      </c>
      <c r="F29" s="2" t="s">
        <v>35</v>
      </c>
      <c r="G29" s="2" t="s">
        <v>132</v>
      </c>
      <c r="H29" s="2" t="s">
        <v>112</v>
      </c>
      <c r="I29" s="2" t="s">
        <v>22</v>
      </c>
      <c r="J29" s="2" t="s">
        <v>115</v>
      </c>
      <c r="K29" s="2" t="s">
        <v>133</v>
      </c>
      <c r="L29" s="2">
        <v>9</v>
      </c>
      <c r="M29" s="2">
        <v>65.83</v>
      </c>
      <c r="N29" s="2">
        <v>0</v>
      </c>
      <c r="O29" s="2">
        <v>592.47</v>
      </c>
      <c r="P29" s="5">
        <v>85.81</v>
      </c>
    </row>
    <row r="30" spans="1:16" x14ac:dyDescent="0.35">
      <c r="A30" s="4" t="s">
        <v>134</v>
      </c>
      <c r="B30" s="3">
        <v>45214</v>
      </c>
      <c r="C30" s="3">
        <v>45220</v>
      </c>
      <c r="D30" s="2" t="s">
        <v>17</v>
      </c>
      <c r="E30" s="2" t="s">
        <v>135</v>
      </c>
      <c r="F30" s="2" t="s">
        <v>35</v>
      </c>
      <c r="G30" s="2" t="s">
        <v>61</v>
      </c>
      <c r="H30" s="2" t="s">
        <v>73</v>
      </c>
      <c r="I30" s="2" t="s">
        <v>30</v>
      </c>
      <c r="J30" s="2" t="s">
        <v>47</v>
      </c>
      <c r="K30" s="2" t="s">
        <v>94</v>
      </c>
      <c r="L30" s="2">
        <v>-2</v>
      </c>
      <c r="M30" s="2">
        <v>725.85</v>
      </c>
      <c r="N30" s="2">
        <v>0.3</v>
      </c>
      <c r="O30" s="2">
        <v>1451.7</v>
      </c>
      <c r="P30" s="5">
        <v>216.54</v>
      </c>
    </row>
    <row r="31" spans="1:16" x14ac:dyDescent="0.35">
      <c r="A31" s="4" t="s">
        <v>136</v>
      </c>
      <c r="B31" s="3">
        <v>45517</v>
      </c>
      <c r="C31" s="3">
        <v>45518</v>
      </c>
      <c r="D31" s="2" t="s">
        <v>65</v>
      </c>
      <c r="E31" s="2" t="s">
        <v>137</v>
      </c>
      <c r="F31" s="2" t="s">
        <v>19</v>
      </c>
      <c r="G31" s="2" t="s">
        <v>51</v>
      </c>
      <c r="H31" s="2" t="s">
        <v>21</v>
      </c>
      <c r="I31" s="2" t="s">
        <v>52</v>
      </c>
      <c r="J31" s="2" t="s">
        <v>68</v>
      </c>
      <c r="K31" s="2" t="s">
        <v>108</v>
      </c>
      <c r="L31" s="2">
        <v>11</v>
      </c>
      <c r="M31" s="2">
        <v>899.15</v>
      </c>
      <c r="N31" s="2">
        <v>0.1</v>
      </c>
      <c r="O31" s="2">
        <v>9890.65</v>
      </c>
      <c r="P31" s="5">
        <v>545.9</v>
      </c>
    </row>
    <row r="32" spans="1:16" x14ac:dyDescent="0.35">
      <c r="A32" s="4" t="s">
        <v>138</v>
      </c>
      <c r="B32" s="3">
        <v>44960</v>
      </c>
      <c r="C32" s="3">
        <v>44966</v>
      </c>
      <c r="D32" s="2" t="s">
        <v>44</v>
      </c>
      <c r="E32" s="2" t="s">
        <v>139</v>
      </c>
      <c r="F32" s="2" t="s">
        <v>27</v>
      </c>
      <c r="G32" s="2" t="s">
        <v>132</v>
      </c>
      <c r="H32" s="2" t="s">
        <v>129</v>
      </c>
      <c r="I32" s="2" t="s">
        <v>30</v>
      </c>
      <c r="J32" s="2" t="s">
        <v>31</v>
      </c>
      <c r="K32" s="2" t="s">
        <v>57</v>
      </c>
      <c r="L32" s="2">
        <v>12</v>
      </c>
      <c r="M32" s="2">
        <v>700.05</v>
      </c>
      <c r="N32" s="2">
        <v>0.2</v>
      </c>
      <c r="O32" s="2">
        <v>8400.6</v>
      </c>
      <c r="P32" s="5">
        <v>2894.88</v>
      </c>
    </row>
    <row r="33" spans="1:16" x14ac:dyDescent="0.35">
      <c r="A33" s="4" t="s">
        <v>140</v>
      </c>
      <c r="B33" s="3">
        <v>45222</v>
      </c>
      <c r="C33" s="3">
        <v>45229</v>
      </c>
      <c r="D33" s="2" t="s">
        <v>17</v>
      </c>
      <c r="E33" s="2" t="s">
        <v>141</v>
      </c>
      <c r="F33" s="2" t="s">
        <v>19</v>
      </c>
      <c r="G33" s="2" t="s">
        <v>107</v>
      </c>
      <c r="H33" s="2" t="s">
        <v>83</v>
      </c>
      <c r="I33" s="2" t="s">
        <v>52</v>
      </c>
      <c r="J33" s="2" t="s">
        <v>68</v>
      </c>
      <c r="K33" s="2" t="s">
        <v>69</v>
      </c>
      <c r="L33" s="2">
        <v>1</v>
      </c>
      <c r="M33" s="2">
        <v>816.44</v>
      </c>
      <c r="N33" s="2">
        <v>0.2</v>
      </c>
      <c r="O33" s="2">
        <v>816.44</v>
      </c>
      <c r="P33" s="5">
        <v>281.01</v>
      </c>
    </row>
    <row r="34" spans="1:16" x14ac:dyDescent="0.35">
      <c r="A34" s="4" t="s">
        <v>142</v>
      </c>
      <c r="B34" s="3">
        <v>45443</v>
      </c>
      <c r="C34" s="3">
        <v>45447</v>
      </c>
      <c r="D34" s="2" t="s">
        <v>17</v>
      </c>
      <c r="E34" s="2" t="s">
        <v>143</v>
      </c>
      <c r="F34" s="2" t="s">
        <v>27</v>
      </c>
      <c r="G34" s="2" t="s">
        <v>61</v>
      </c>
      <c r="H34" s="2" t="s">
        <v>73</v>
      </c>
      <c r="I34" s="2" t="s">
        <v>22</v>
      </c>
      <c r="J34" s="2" t="s">
        <v>37</v>
      </c>
      <c r="K34" s="2" t="s">
        <v>144</v>
      </c>
      <c r="L34" s="2">
        <v>11</v>
      </c>
      <c r="M34" s="2">
        <v>253.19</v>
      </c>
      <c r="N34" s="2">
        <v>0.3</v>
      </c>
      <c r="O34" s="2">
        <v>2785.09</v>
      </c>
      <c r="P34" s="5">
        <v>308.17</v>
      </c>
    </row>
    <row r="35" spans="1:16" x14ac:dyDescent="0.35">
      <c r="A35" s="4" t="s">
        <v>145</v>
      </c>
      <c r="B35" s="3">
        <v>45217</v>
      </c>
      <c r="C35" s="3">
        <v>45224</v>
      </c>
      <c r="D35" s="2" t="s">
        <v>59</v>
      </c>
      <c r="E35" s="2" t="s">
        <v>146</v>
      </c>
      <c r="F35" s="2" t="s">
        <v>27</v>
      </c>
      <c r="G35" s="2" t="s">
        <v>72</v>
      </c>
      <c r="H35" s="2" t="s">
        <v>73</v>
      </c>
      <c r="I35" s="2" t="s">
        <v>22</v>
      </c>
      <c r="J35" s="2" t="s">
        <v>115</v>
      </c>
      <c r="K35" s="2" t="s">
        <v>147</v>
      </c>
      <c r="L35" s="2">
        <v>10</v>
      </c>
      <c r="M35" s="2">
        <v>826.84</v>
      </c>
      <c r="N35" s="2">
        <v>0</v>
      </c>
      <c r="O35" s="2">
        <v>8268.4</v>
      </c>
      <c r="P35" s="5">
        <v>-335.46</v>
      </c>
    </row>
    <row r="36" spans="1:16" x14ac:dyDescent="0.35">
      <c r="A36" s="4" t="s">
        <v>148</v>
      </c>
      <c r="B36" s="3">
        <v>45321</v>
      </c>
      <c r="C36" s="3">
        <v>45327</v>
      </c>
      <c r="D36" s="2" t="s">
        <v>65</v>
      </c>
      <c r="E36" s="2" t="s">
        <v>149</v>
      </c>
      <c r="F36" s="2" t="s">
        <v>35</v>
      </c>
      <c r="G36" s="2" t="s">
        <v>107</v>
      </c>
      <c r="H36" s="2" t="s">
        <v>123</v>
      </c>
      <c r="I36" s="2" t="s">
        <v>30</v>
      </c>
      <c r="J36" s="2" t="s">
        <v>99</v>
      </c>
      <c r="K36" s="2" t="s">
        <v>100</v>
      </c>
      <c r="L36" s="2">
        <v>7</v>
      </c>
      <c r="M36" s="2">
        <v>293.67</v>
      </c>
      <c r="N36" s="2">
        <v>0.15</v>
      </c>
      <c r="O36" s="2">
        <v>2055.69</v>
      </c>
      <c r="P36" s="5">
        <v>185.81</v>
      </c>
    </row>
    <row r="37" spans="1:16" x14ac:dyDescent="0.35">
      <c r="A37" s="4" t="s">
        <v>150</v>
      </c>
      <c r="B37" s="3">
        <v>45195</v>
      </c>
      <c r="C37" s="3">
        <v>45202</v>
      </c>
      <c r="D37" s="2" t="s">
        <v>65</v>
      </c>
      <c r="E37" s="2" t="s">
        <v>151</v>
      </c>
      <c r="F37" s="2" t="s">
        <v>19</v>
      </c>
      <c r="G37" s="2" t="s">
        <v>103</v>
      </c>
      <c r="H37" s="2" t="s">
        <v>73</v>
      </c>
      <c r="I37" s="2" t="s">
        <v>52</v>
      </c>
      <c r="J37" s="2" t="s">
        <v>78</v>
      </c>
      <c r="K37" s="2" t="s">
        <v>96</v>
      </c>
      <c r="L37" s="2">
        <v>4</v>
      </c>
      <c r="M37" s="2">
        <v>717.02</v>
      </c>
      <c r="N37" s="2">
        <v>0</v>
      </c>
      <c r="O37" s="2">
        <v>2868.08</v>
      </c>
      <c r="P37" s="5">
        <v>-50.9</v>
      </c>
    </row>
    <row r="38" spans="1:16" x14ac:dyDescent="0.35">
      <c r="A38" s="4" t="s">
        <v>152</v>
      </c>
      <c r="B38" s="3">
        <v>45576</v>
      </c>
      <c r="C38" s="3">
        <v>45580</v>
      </c>
      <c r="D38" s="2" t="s">
        <v>17</v>
      </c>
      <c r="E38" s="2" t="s">
        <v>153</v>
      </c>
      <c r="F38" s="2" t="s">
        <v>19</v>
      </c>
      <c r="G38" s="2" t="s">
        <v>103</v>
      </c>
      <c r="H38" s="2" t="s">
        <v>73</v>
      </c>
      <c r="I38" s="2" t="s">
        <v>30</v>
      </c>
      <c r="J38" s="2" t="s">
        <v>99</v>
      </c>
      <c r="K38" s="2" t="s">
        <v>154</v>
      </c>
      <c r="L38" s="2">
        <v>10</v>
      </c>
      <c r="M38" s="2">
        <v>342.91</v>
      </c>
      <c r="N38" s="2">
        <v>0</v>
      </c>
      <c r="O38" s="2">
        <v>3429.1</v>
      </c>
      <c r="P38" s="5">
        <v>-154.72</v>
      </c>
    </row>
    <row r="39" spans="1:16" x14ac:dyDescent="0.35">
      <c r="A39" s="4" t="s">
        <v>155</v>
      </c>
      <c r="B39" s="3">
        <v>45148</v>
      </c>
      <c r="C39" s="3">
        <v>45152</v>
      </c>
      <c r="D39" s="2" t="s">
        <v>65</v>
      </c>
      <c r="E39" s="2" t="s">
        <v>156</v>
      </c>
      <c r="F39" s="2" t="s">
        <v>35</v>
      </c>
      <c r="G39" s="2" t="s">
        <v>61</v>
      </c>
      <c r="H39" s="2" t="s">
        <v>62</v>
      </c>
      <c r="I39" s="2" t="s">
        <v>30</v>
      </c>
      <c r="J39" s="2" t="s">
        <v>99</v>
      </c>
      <c r="K39" s="2" t="s">
        <v>154</v>
      </c>
      <c r="L39" s="2">
        <v>10</v>
      </c>
      <c r="M39" s="2">
        <v>739.31</v>
      </c>
      <c r="N39" s="2">
        <v>0</v>
      </c>
      <c r="O39" s="2">
        <v>7393.1</v>
      </c>
      <c r="P39" s="5">
        <v>1194.77</v>
      </c>
    </row>
    <row r="40" spans="1:16" x14ac:dyDescent="0.35">
      <c r="A40" s="4" t="s">
        <v>157</v>
      </c>
      <c r="B40" s="3">
        <v>45119</v>
      </c>
      <c r="C40" s="3">
        <v>45124</v>
      </c>
      <c r="D40" s="2" t="s">
        <v>65</v>
      </c>
      <c r="E40" s="2" t="s">
        <v>158</v>
      </c>
      <c r="F40" s="2" t="s">
        <v>35</v>
      </c>
      <c r="G40" s="2" t="s">
        <v>28</v>
      </c>
      <c r="H40" s="2" t="s">
        <v>159</v>
      </c>
      <c r="I40" s="2" t="s">
        <v>52</v>
      </c>
      <c r="J40" s="2" t="s">
        <v>160</v>
      </c>
      <c r="K40" s="2" t="s">
        <v>161</v>
      </c>
      <c r="L40" s="2">
        <v>10</v>
      </c>
      <c r="M40" s="2">
        <v>887.91</v>
      </c>
      <c r="N40" s="2">
        <v>0.1</v>
      </c>
      <c r="O40" s="2">
        <v>8879.1</v>
      </c>
      <c r="P40" s="5">
        <v>-1129.06</v>
      </c>
    </row>
    <row r="41" spans="1:16" x14ac:dyDescent="0.35">
      <c r="A41" s="4" t="s">
        <v>162</v>
      </c>
      <c r="B41" s="3">
        <v>45216</v>
      </c>
      <c r="C41" s="3">
        <v>45219</v>
      </c>
      <c r="D41" s="2" t="s">
        <v>44</v>
      </c>
      <c r="E41" s="2" t="s">
        <v>163</v>
      </c>
      <c r="F41" s="2" t="s">
        <v>19</v>
      </c>
      <c r="G41" s="2" t="s">
        <v>128</v>
      </c>
      <c r="H41" s="2" t="s">
        <v>112</v>
      </c>
      <c r="I41" s="2" t="s">
        <v>30</v>
      </c>
      <c r="J41" s="2" t="s">
        <v>41</v>
      </c>
      <c r="K41" s="2" t="s">
        <v>42</v>
      </c>
      <c r="L41" s="2">
        <v>1</v>
      </c>
      <c r="M41" s="2">
        <v>185.86</v>
      </c>
      <c r="N41" s="2">
        <v>0.1</v>
      </c>
      <c r="O41" s="2">
        <v>185.86</v>
      </c>
      <c r="P41" s="5">
        <v>-10.07</v>
      </c>
    </row>
    <row r="42" spans="1:16" x14ac:dyDescent="0.35">
      <c r="A42" s="4" t="s">
        <v>164</v>
      </c>
      <c r="B42" s="3">
        <v>45285</v>
      </c>
      <c r="C42" s="3">
        <v>45291</v>
      </c>
      <c r="D42" s="2" t="s">
        <v>59</v>
      </c>
      <c r="E42" s="2" t="s">
        <v>102</v>
      </c>
      <c r="F42" s="2" t="s">
        <v>27</v>
      </c>
      <c r="G42" s="2" t="s">
        <v>72</v>
      </c>
      <c r="H42" s="2" t="s">
        <v>62</v>
      </c>
      <c r="I42" s="2" t="s">
        <v>22</v>
      </c>
      <c r="J42" s="2" t="s">
        <v>74</v>
      </c>
      <c r="K42" s="2" t="s">
        <v>165</v>
      </c>
      <c r="L42" s="2">
        <v>7</v>
      </c>
      <c r="M42" s="2">
        <v>528.1</v>
      </c>
      <c r="N42" s="2">
        <v>0</v>
      </c>
      <c r="O42" s="2">
        <v>3696.7</v>
      </c>
      <c r="P42" s="5">
        <v>124.35</v>
      </c>
    </row>
    <row r="43" spans="1:16" x14ac:dyDescent="0.35">
      <c r="A43" s="4" t="s">
        <v>166</v>
      </c>
      <c r="B43" s="3">
        <v>45309</v>
      </c>
      <c r="C43" s="3">
        <v>45314</v>
      </c>
      <c r="D43" s="2" t="s">
        <v>65</v>
      </c>
      <c r="E43" s="2" t="s">
        <v>167</v>
      </c>
      <c r="F43" s="2" t="s">
        <v>35</v>
      </c>
      <c r="G43" s="2" t="s">
        <v>82</v>
      </c>
      <c r="H43" s="2" t="s">
        <v>123</v>
      </c>
      <c r="I43" s="2" t="s">
        <v>30</v>
      </c>
      <c r="J43" s="2" t="s">
        <v>41</v>
      </c>
      <c r="K43" s="2" t="s">
        <v>105</v>
      </c>
      <c r="L43" s="2">
        <v>11</v>
      </c>
      <c r="M43" s="2">
        <v>859.91</v>
      </c>
      <c r="N43" s="2">
        <v>0.15</v>
      </c>
      <c r="O43" s="2">
        <v>9459.01</v>
      </c>
      <c r="P43" s="5">
        <v>1693.19</v>
      </c>
    </row>
    <row r="44" spans="1:16" x14ac:dyDescent="0.35">
      <c r="A44" s="4" t="s">
        <v>168</v>
      </c>
      <c r="B44" s="3">
        <v>45279</v>
      </c>
      <c r="C44" s="3">
        <v>45280</v>
      </c>
      <c r="D44" s="2" t="s">
        <v>65</v>
      </c>
      <c r="E44" s="2" t="s">
        <v>169</v>
      </c>
      <c r="F44" s="2" t="s">
        <v>35</v>
      </c>
      <c r="G44" s="2" t="s">
        <v>103</v>
      </c>
      <c r="H44" s="2" t="s">
        <v>62</v>
      </c>
      <c r="I44" s="2" t="s">
        <v>30</v>
      </c>
      <c r="J44" s="2" t="s">
        <v>47</v>
      </c>
      <c r="K44" s="2" t="s">
        <v>94</v>
      </c>
      <c r="L44" s="2">
        <v>1</v>
      </c>
      <c r="M44" s="2">
        <v>5.75</v>
      </c>
      <c r="N44" s="2">
        <v>0.15</v>
      </c>
      <c r="O44" s="2">
        <v>5.75</v>
      </c>
      <c r="P44" s="5">
        <v>1.5</v>
      </c>
    </row>
    <row r="45" spans="1:16" x14ac:dyDescent="0.35">
      <c r="A45" s="4" t="s">
        <v>170</v>
      </c>
      <c r="B45" s="3">
        <v>45209</v>
      </c>
      <c r="C45" s="3">
        <v>45212</v>
      </c>
      <c r="D45" s="2" t="s">
        <v>59</v>
      </c>
      <c r="E45" s="2" t="s">
        <v>171</v>
      </c>
      <c r="F45" s="2" t="s">
        <v>35</v>
      </c>
      <c r="G45" s="2" t="s">
        <v>90</v>
      </c>
      <c r="H45" s="2" t="s">
        <v>62</v>
      </c>
      <c r="I45" s="2" t="s">
        <v>22</v>
      </c>
      <c r="J45" s="2" t="s">
        <v>115</v>
      </c>
      <c r="K45" s="2" t="s">
        <v>133</v>
      </c>
      <c r="L45" s="2">
        <v>2</v>
      </c>
      <c r="M45" s="2">
        <v>643.22</v>
      </c>
      <c r="N45" s="2">
        <v>0.1</v>
      </c>
      <c r="O45" s="2">
        <v>1286.44</v>
      </c>
      <c r="P45" s="5">
        <v>-36.83</v>
      </c>
    </row>
    <row r="46" spans="1:16" x14ac:dyDescent="0.35">
      <c r="A46" s="4" t="s">
        <v>172</v>
      </c>
      <c r="B46" s="3">
        <v>45357</v>
      </c>
      <c r="C46" s="3">
        <v>45363</v>
      </c>
      <c r="D46" s="2" t="s">
        <v>44</v>
      </c>
      <c r="E46" s="2" t="s">
        <v>173</v>
      </c>
      <c r="F46" s="2" t="s">
        <v>27</v>
      </c>
      <c r="G46" s="2" t="s">
        <v>45</v>
      </c>
      <c r="H46" s="2" t="s">
        <v>46</v>
      </c>
      <c r="I46" s="2" t="s">
        <v>22</v>
      </c>
      <c r="J46" s="2" t="s">
        <v>23</v>
      </c>
      <c r="K46" s="2" t="s">
        <v>24</v>
      </c>
      <c r="L46" s="2">
        <v>12</v>
      </c>
      <c r="M46" s="2">
        <v>557.84</v>
      </c>
      <c r="N46" s="2">
        <v>0</v>
      </c>
      <c r="O46" s="2">
        <v>6694.08</v>
      </c>
      <c r="P46" s="5"/>
    </row>
    <row r="47" spans="1:16" x14ac:dyDescent="0.35">
      <c r="A47" s="4" t="s">
        <v>174</v>
      </c>
      <c r="B47" s="3">
        <v>45144</v>
      </c>
      <c r="C47" s="3">
        <v>45149</v>
      </c>
      <c r="D47" s="2" t="s">
        <v>65</v>
      </c>
      <c r="E47" s="2" t="s">
        <v>139</v>
      </c>
      <c r="F47" s="2" t="s">
        <v>19</v>
      </c>
      <c r="G47" s="2" t="s">
        <v>107</v>
      </c>
      <c r="H47" s="2" t="s">
        <v>123</v>
      </c>
      <c r="I47" s="2" t="s">
        <v>52</v>
      </c>
      <c r="J47" s="2" t="s">
        <v>68</v>
      </c>
      <c r="K47" s="2" t="s">
        <v>108</v>
      </c>
      <c r="L47" s="2">
        <v>12</v>
      </c>
      <c r="M47" s="2">
        <v>496.3</v>
      </c>
      <c r="N47" s="2">
        <v>0.15</v>
      </c>
      <c r="O47" s="2">
        <v>5955.6</v>
      </c>
      <c r="P47" s="5">
        <v>1698.24</v>
      </c>
    </row>
    <row r="48" spans="1:16" x14ac:dyDescent="0.35">
      <c r="A48" s="4" t="s">
        <v>175</v>
      </c>
      <c r="B48" s="3">
        <v>45310</v>
      </c>
      <c r="C48" s="3">
        <v>45314</v>
      </c>
      <c r="D48" s="2" t="s">
        <v>65</v>
      </c>
      <c r="E48" s="2" t="s">
        <v>176</v>
      </c>
      <c r="F48" s="2" t="s">
        <v>19</v>
      </c>
      <c r="G48" s="2" t="s">
        <v>67</v>
      </c>
      <c r="H48" s="2" t="s">
        <v>21</v>
      </c>
      <c r="I48" s="2" t="s">
        <v>30</v>
      </c>
      <c r="J48" s="2" t="s">
        <v>47</v>
      </c>
      <c r="K48" s="2" t="s">
        <v>94</v>
      </c>
      <c r="L48" s="2">
        <v>10</v>
      </c>
      <c r="M48" s="2">
        <v>27.85</v>
      </c>
      <c r="N48" s="2">
        <v>0.15</v>
      </c>
      <c r="O48" s="2">
        <v>278.5</v>
      </c>
      <c r="P48" s="5">
        <v>-12.33</v>
      </c>
    </row>
    <row r="49" spans="1:16" x14ac:dyDescent="0.35">
      <c r="A49" s="4" t="s">
        <v>177</v>
      </c>
      <c r="B49" s="3">
        <v>45432</v>
      </c>
      <c r="C49" s="3">
        <v>45435</v>
      </c>
      <c r="D49" s="2" t="s">
        <v>17</v>
      </c>
      <c r="E49" s="2" t="s">
        <v>146</v>
      </c>
      <c r="F49" s="2" t="s">
        <v>19</v>
      </c>
      <c r="G49" s="2" t="s">
        <v>82</v>
      </c>
      <c r="H49" s="2" t="s">
        <v>46</v>
      </c>
      <c r="I49" s="2" t="s">
        <v>22</v>
      </c>
      <c r="J49" s="2" t="s">
        <v>23</v>
      </c>
      <c r="K49" s="2" t="s">
        <v>178</v>
      </c>
      <c r="L49" s="2">
        <v>2</v>
      </c>
      <c r="M49" s="2">
        <v>783.58</v>
      </c>
      <c r="N49" s="2">
        <v>0.15</v>
      </c>
      <c r="O49" s="2">
        <v>1567.16</v>
      </c>
      <c r="P49" s="5">
        <v>156.97</v>
      </c>
    </row>
    <row r="50" spans="1:16" x14ac:dyDescent="0.35">
      <c r="A50" s="4" t="s">
        <v>179</v>
      </c>
      <c r="B50" s="3">
        <v>45412</v>
      </c>
      <c r="C50" s="3">
        <v>45414</v>
      </c>
      <c r="D50" s="2" t="s">
        <v>17</v>
      </c>
      <c r="E50" s="2" t="s">
        <v>180</v>
      </c>
      <c r="F50" s="2" t="s">
        <v>27</v>
      </c>
      <c r="G50" s="2" t="s">
        <v>181</v>
      </c>
      <c r="H50" s="2" t="s">
        <v>83</v>
      </c>
      <c r="I50" s="2" t="s">
        <v>22</v>
      </c>
      <c r="J50" s="2" t="s">
        <v>115</v>
      </c>
      <c r="K50" s="2" t="s">
        <v>116</v>
      </c>
      <c r="L50" s="2">
        <v>11</v>
      </c>
      <c r="M50" s="2">
        <v>651.67999999999995</v>
      </c>
      <c r="N50" s="2">
        <v>0</v>
      </c>
      <c r="O50" s="2">
        <v>7168.48</v>
      </c>
      <c r="P50" s="5">
        <v>-953.43</v>
      </c>
    </row>
    <row r="51" spans="1:16" x14ac:dyDescent="0.35">
      <c r="A51" s="4" t="s">
        <v>182</v>
      </c>
      <c r="B51" s="3">
        <v>45187</v>
      </c>
      <c r="C51" s="3">
        <v>45192</v>
      </c>
      <c r="D51" s="2" t="s">
        <v>59</v>
      </c>
      <c r="E51" s="2" t="s">
        <v>85</v>
      </c>
      <c r="F51" s="2" t="s">
        <v>19</v>
      </c>
      <c r="G51" s="2" t="s">
        <v>82</v>
      </c>
      <c r="H51" s="2" t="s">
        <v>123</v>
      </c>
      <c r="I51" s="2" t="s">
        <v>52</v>
      </c>
      <c r="J51" s="2" t="s">
        <v>53</v>
      </c>
      <c r="K51" s="2" t="s">
        <v>91</v>
      </c>
      <c r="L51" s="2">
        <v>4</v>
      </c>
      <c r="M51" s="2">
        <v>731.73</v>
      </c>
      <c r="N51" s="2">
        <v>0</v>
      </c>
      <c r="O51" s="2">
        <v>2926.92</v>
      </c>
      <c r="P51" s="5">
        <v>918.77</v>
      </c>
    </row>
    <row r="52" spans="1:16" x14ac:dyDescent="0.35">
      <c r="A52" s="4" t="s">
        <v>183</v>
      </c>
      <c r="B52" s="3">
        <v>45219</v>
      </c>
      <c r="C52" s="3">
        <v>45224</v>
      </c>
      <c r="D52" s="2" t="s">
        <v>59</v>
      </c>
      <c r="E52" s="2" t="s">
        <v>184</v>
      </c>
      <c r="F52" s="2" t="s">
        <v>35</v>
      </c>
      <c r="G52" s="2" t="s">
        <v>111</v>
      </c>
      <c r="H52" s="2" t="s">
        <v>129</v>
      </c>
      <c r="I52" s="2" t="s">
        <v>22</v>
      </c>
      <c r="J52" s="2" t="s">
        <v>23</v>
      </c>
      <c r="K52" s="2" t="s">
        <v>24</v>
      </c>
      <c r="L52" s="2">
        <v>11</v>
      </c>
      <c r="M52" s="2">
        <v>898.17</v>
      </c>
      <c r="N52" s="2">
        <v>0.15</v>
      </c>
      <c r="O52" s="2">
        <v>9879.8700000000008</v>
      </c>
      <c r="P52" s="5">
        <v>1965.51</v>
      </c>
    </row>
    <row r="53" spans="1:16" x14ac:dyDescent="0.35">
      <c r="A53" s="4" t="s">
        <v>185</v>
      </c>
      <c r="B53" s="3">
        <v>45592</v>
      </c>
      <c r="C53" s="3">
        <v>45595</v>
      </c>
      <c r="D53" s="2" t="s">
        <v>44</v>
      </c>
      <c r="E53" s="2" t="s">
        <v>186</v>
      </c>
      <c r="F53" s="2" t="s">
        <v>35</v>
      </c>
      <c r="G53" s="2" t="s">
        <v>187</v>
      </c>
      <c r="H53" s="2" t="s">
        <v>159</v>
      </c>
      <c r="I53" s="2" t="s">
        <v>30</v>
      </c>
      <c r="J53" s="2" t="s">
        <v>99</v>
      </c>
      <c r="K53" s="2" t="s">
        <v>100</v>
      </c>
      <c r="L53" s="2">
        <v>11</v>
      </c>
      <c r="M53" s="2">
        <v>736.58</v>
      </c>
      <c r="N53" s="2">
        <v>0</v>
      </c>
      <c r="O53" s="2">
        <v>8102.38</v>
      </c>
      <c r="P53" s="5">
        <v>1639.35</v>
      </c>
    </row>
    <row r="54" spans="1:16" x14ac:dyDescent="0.35">
      <c r="A54" s="4" t="s">
        <v>188</v>
      </c>
      <c r="B54" s="3">
        <v>45239</v>
      </c>
      <c r="C54" s="3">
        <v>45240</v>
      </c>
      <c r="D54" s="2" t="s">
        <v>17</v>
      </c>
      <c r="E54" s="2" t="s">
        <v>156</v>
      </c>
      <c r="F54" s="2" t="s">
        <v>19</v>
      </c>
      <c r="G54" s="2" t="s">
        <v>86</v>
      </c>
      <c r="H54" s="2" t="s">
        <v>159</v>
      </c>
      <c r="I54" s="2" t="s">
        <v>22</v>
      </c>
      <c r="J54" s="2" t="s">
        <v>37</v>
      </c>
      <c r="K54" s="2" t="s">
        <v>144</v>
      </c>
      <c r="L54" s="2">
        <v>10</v>
      </c>
      <c r="M54" s="2">
        <v>348.42</v>
      </c>
      <c r="N54" s="2">
        <v>0</v>
      </c>
      <c r="O54" s="2">
        <v>3484.2</v>
      </c>
      <c r="P54" s="5">
        <v>325.2</v>
      </c>
    </row>
    <row r="55" spans="1:16" x14ac:dyDescent="0.35">
      <c r="A55" s="4" t="s">
        <v>189</v>
      </c>
      <c r="B55" s="3">
        <v>45133</v>
      </c>
      <c r="C55" s="3">
        <v>45140</v>
      </c>
      <c r="D55" s="2" t="s">
        <v>44</v>
      </c>
      <c r="E55" s="2" t="s">
        <v>190</v>
      </c>
      <c r="F55" s="2" t="s">
        <v>35</v>
      </c>
      <c r="G55" s="2" t="s">
        <v>90</v>
      </c>
      <c r="H55" s="2" t="s">
        <v>62</v>
      </c>
      <c r="I55" s="2" t="s">
        <v>30</v>
      </c>
      <c r="J55" s="2" t="s">
        <v>41</v>
      </c>
      <c r="K55" s="2" t="s">
        <v>191</v>
      </c>
      <c r="L55" s="2">
        <v>11</v>
      </c>
      <c r="M55" s="2">
        <v>815.14</v>
      </c>
      <c r="N55" s="2">
        <v>0</v>
      </c>
      <c r="O55" s="2">
        <v>8966.5400000000009</v>
      </c>
      <c r="P55" s="5">
        <v>1515.1</v>
      </c>
    </row>
    <row r="56" spans="1:16" x14ac:dyDescent="0.35">
      <c r="A56" s="4" t="s">
        <v>192</v>
      </c>
      <c r="B56" s="3">
        <v>45536</v>
      </c>
      <c r="C56" s="3">
        <v>45543</v>
      </c>
      <c r="D56" s="2" t="s">
        <v>65</v>
      </c>
      <c r="E56" s="2" t="s">
        <v>193</v>
      </c>
      <c r="F56" s="2" t="s">
        <v>35</v>
      </c>
      <c r="G56" s="2" t="s">
        <v>187</v>
      </c>
      <c r="H56" s="2" t="s">
        <v>29</v>
      </c>
      <c r="I56" s="2" t="s">
        <v>52</v>
      </c>
      <c r="J56" s="2" t="s">
        <v>194</v>
      </c>
      <c r="K56" s="2" t="s">
        <v>195</v>
      </c>
      <c r="L56" s="2">
        <v>4</v>
      </c>
      <c r="M56" s="2">
        <v>522.09</v>
      </c>
      <c r="N56" s="2">
        <v>0.3</v>
      </c>
      <c r="O56" s="2">
        <v>2088.36</v>
      </c>
      <c r="P56" s="5">
        <v>47.07</v>
      </c>
    </row>
    <row r="57" spans="1:16" x14ac:dyDescent="0.35">
      <c r="A57" s="4" t="s">
        <v>196</v>
      </c>
      <c r="B57" s="3">
        <v>45466</v>
      </c>
      <c r="C57" s="3">
        <v>45472</v>
      </c>
      <c r="D57" s="2" t="s">
        <v>17</v>
      </c>
      <c r="E57" s="2" t="s">
        <v>197</v>
      </c>
      <c r="F57" s="2" t="s">
        <v>19</v>
      </c>
      <c r="G57" s="2" t="s">
        <v>103</v>
      </c>
      <c r="H57" s="2" t="s">
        <v>62</v>
      </c>
      <c r="I57" s="2" t="s">
        <v>52</v>
      </c>
      <c r="J57" s="2" t="s">
        <v>78</v>
      </c>
      <c r="K57" s="2" t="s">
        <v>198</v>
      </c>
      <c r="L57" s="2">
        <v>3</v>
      </c>
      <c r="M57" s="2">
        <v>885.85</v>
      </c>
      <c r="N57" s="2">
        <v>0.2</v>
      </c>
      <c r="O57" s="2">
        <v>2657.55</v>
      </c>
      <c r="P57" s="5">
        <v>801.12</v>
      </c>
    </row>
    <row r="58" spans="1:16" x14ac:dyDescent="0.35">
      <c r="A58" s="4" t="s">
        <v>199</v>
      </c>
      <c r="B58" s="3">
        <v>45037</v>
      </c>
      <c r="C58" s="3">
        <v>45043</v>
      </c>
      <c r="D58" s="2"/>
      <c r="E58" s="2" t="s">
        <v>200</v>
      </c>
      <c r="F58" s="2" t="s">
        <v>27</v>
      </c>
      <c r="G58" s="2" t="s">
        <v>181</v>
      </c>
      <c r="H58" s="2" t="s">
        <v>83</v>
      </c>
      <c r="I58" s="2" t="s">
        <v>30</v>
      </c>
      <c r="J58" s="2" t="s">
        <v>31</v>
      </c>
      <c r="K58" s="2" t="s">
        <v>57</v>
      </c>
      <c r="L58" s="2">
        <v>9</v>
      </c>
      <c r="M58" s="2">
        <v>231.2</v>
      </c>
      <c r="N58" s="2">
        <v>0.2</v>
      </c>
      <c r="O58" s="2">
        <v>2080.8000000000002</v>
      </c>
      <c r="P58" s="5">
        <v>-152.81</v>
      </c>
    </row>
    <row r="59" spans="1:16" x14ac:dyDescent="0.35">
      <c r="A59" s="4" t="s">
        <v>201</v>
      </c>
      <c r="B59" s="3">
        <v>44929</v>
      </c>
      <c r="C59" s="3">
        <v>44933</v>
      </c>
      <c r="D59" s="2" t="s">
        <v>44</v>
      </c>
      <c r="E59" s="2" t="s">
        <v>202</v>
      </c>
      <c r="F59" s="2" t="s">
        <v>19</v>
      </c>
      <c r="G59" s="2" t="s">
        <v>28</v>
      </c>
      <c r="H59" s="2" t="s">
        <v>159</v>
      </c>
      <c r="I59" s="2" t="s">
        <v>52</v>
      </c>
      <c r="J59" s="2" t="s">
        <v>68</v>
      </c>
      <c r="K59" s="2" t="s">
        <v>108</v>
      </c>
      <c r="L59" s="2">
        <v>2</v>
      </c>
      <c r="M59" s="2">
        <v>41.18</v>
      </c>
      <c r="N59" s="2">
        <v>0</v>
      </c>
      <c r="O59" s="2">
        <v>82.36</v>
      </c>
      <c r="P59" s="5">
        <v>1.24</v>
      </c>
    </row>
    <row r="60" spans="1:16" x14ac:dyDescent="0.35">
      <c r="A60" s="4" t="s">
        <v>203</v>
      </c>
      <c r="B60" s="3">
        <v>45305</v>
      </c>
      <c r="C60" s="3">
        <v>45311</v>
      </c>
      <c r="D60" s="2" t="s">
        <v>59</v>
      </c>
      <c r="E60" s="2" t="s">
        <v>204</v>
      </c>
      <c r="F60" s="2" t="s">
        <v>35</v>
      </c>
      <c r="G60" s="2" t="s">
        <v>61</v>
      </c>
      <c r="H60" s="2" t="s">
        <v>62</v>
      </c>
      <c r="I60" s="2" t="s">
        <v>52</v>
      </c>
      <c r="J60" s="2" t="s">
        <v>53</v>
      </c>
      <c r="K60" s="2" t="s">
        <v>91</v>
      </c>
      <c r="L60" s="2">
        <v>12</v>
      </c>
      <c r="M60" s="2">
        <v>838.28</v>
      </c>
      <c r="N60" s="2">
        <v>0.1</v>
      </c>
      <c r="O60" s="2">
        <v>10059.36</v>
      </c>
      <c r="P60" s="5">
        <v>2171.4</v>
      </c>
    </row>
    <row r="61" spans="1:16" x14ac:dyDescent="0.35">
      <c r="A61" s="4" t="s">
        <v>205</v>
      </c>
      <c r="B61" s="3">
        <v>45546</v>
      </c>
      <c r="C61" s="3">
        <v>45551</v>
      </c>
      <c r="D61" s="2" t="s">
        <v>17</v>
      </c>
      <c r="E61" s="2" t="s">
        <v>139</v>
      </c>
      <c r="F61" s="2" t="s">
        <v>35</v>
      </c>
      <c r="G61" s="2" t="s">
        <v>181</v>
      </c>
      <c r="H61" s="2" t="s">
        <v>46</v>
      </c>
      <c r="I61" s="2" t="s">
        <v>30</v>
      </c>
      <c r="J61" s="2" t="s">
        <v>47</v>
      </c>
      <c r="K61" s="2" t="s">
        <v>63</v>
      </c>
      <c r="L61" s="2">
        <v>11</v>
      </c>
      <c r="M61" s="2">
        <v>49.05</v>
      </c>
      <c r="N61" s="2">
        <v>0</v>
      </c>
      <c r="O61" s="2">
        <v>539.54999999999995</v>
      </c>
      <c r="P61" s="5">
        <v>16.75</v>
      </c>
    </row>
    <row r="62" spans="1:16" x14ac:dyDescent="0.35">
      <c r="A62" s="4" t="s">
        <v>206</v>
      </c>
      <c r="B62" s="3">
        <v>45487</v>
      </c>
      <c r="C62" s="3">
        <v>45494</v>
      </c>
      <c r="D62" s="2" t="s">
        <v>65</v>
      </c>
      <c r="E62" s="2" t="s">
        <v>207</v>
      </c>
      <c r="F62" s="2" t="s">
        <v>19</v>
      </c>
      <c r="G62" s="2" t="s">
        <v>67</v>
      </c>
      <c r="H62" s="2" t="s">
        <v>21</v>
      </c>
      <c r="I62" s="2" t="s">
        <v>30</v>
      </c>
      <c r="J62" s="2" t="s">
        <v>99</v>
      </c>
      <c r="K62" s="2" t="s">
        <v>208</v>
      </c>
      <c r="L62" s="2">
        <v>12</v>
      </c>
      <c r="M62" s="2">
        <v>586.83000000000004</v>
      </c>
      <c r="N62" s="2">
        <v>0</v>
      </c>
      <c r="O62" s="2">
        <v>7041.96</v>
      </c>
      <c r="P62" s="5">
        <v>717.9</v>
      </c>
    </row>
    <row r="63" spans="1:16" x14ac:dyDescent="0.35">
      <c r="A63" s="4" t="s">
        <v>209</v>
      </c>
      <c r="B63" s="3">
        <v>44997</v>
      </c>
      <c r="C63" s="3">
        <v>45001</v>
      </c>
      <c r="D63" s="2" t="s">
        <v>59</v>
      </c>
      <c r="E63" s="2" t="s">
        <v>210</v>
      </c>
      <c r="F63" s="2" t="s">
        <v>27</v>
      </c>
      <c r="G63" s="2" t="s">
        <v>211</v>
      </c>
      <c r="H63" s="2" t="s">
        <v>159</v>
      </c>
      <c r="I63" s="2" t="s">
        <v>52</v>
      </c>
      <c r="J63" s="2" t="s">
        <v>78</v>
      </c>
      <c r="K63" s="2" t="s">
        <v>96</v>
      </c>
      <c r="L63" s="2">
        <v>10</v>
      </c>
      <c r="M63" s="2">
        <v>519.71</v>
      </c>
      <c r="N63" s="2">
        <v>0</v>
      </c>
      <c r="O63" s="2">
        <v>5197.1000000000004</v>
      </c>
      <c r="P63" s="5">
        <v>747.06</v>
      </c>
    </row>
    <row r="64" spans="1:16" x14ac:dyDescent="0.35">
      <c r="A64" s="4" t="s">
        <v>212</v>
      </c>
      <c r="B64" s="3">
        <v>45194</v>
      </c>
      <c r="C64" s="3">
        <v>45196</v>
      </c>
      <c r="D64" s="2" t="s">
        <v>17</v>
      </c>
      <c r="E64" s="2" t="s">
        <v>213</v>
      </c>
      <c r="F64" s="2" t="s">
        <v>27</v>
      </c>
      <c r="G64" s="2" t="s">
        <v>90</v>
      </c>
      <c r="H64" s="2" t="s">
        <v>73</v>
      </c>
      <c r="I64" s="2" t="s">
        <v>30</v>
      </c>
      <c r="J64" s="2" t="s">
        <v>31</v>
      </c>
      <c r="K64" s="2" t="s">
        <v>57</v>
      </c>
      <c r="L64" s="2">
        <v>10</v>
      </c>
      <c r="M64" s="2">
        <v>885.89</v>
      </c>
      <c r="N64" s="2">
        <v>0</v>
      </c>
      <c r="O64" s="2">
        <v>8858.9</v>
      </c>
      <c r="P64" s="5">
        <v>377.37</v>
      </c>
    </row>
    <row r="65" spans="1:16" x14ac:dyDescent="0.35">
      <c r="A65" s="4" t="s">
        <v>214</v>
      </c>
      <c r="B65" s="3">
        <v>45551</v>
      </c>
      <c r="C65" s="3">
        <v>45556</v>
      </c>
      <c r="D65" s="2" t="s">
        <v>59</v>
      </c>
      <c r="E65" s="2" t="s">
        <v>215</v>
      </c>
      <c r="F65" s="2" t="s">
        <v>35</v>
      </c>
      <c r="G65" s="2" t="s">
        <v>103</v>
      </c>
      <c r="H65" s="2" t="s">
        <v>73</v>
      </c>
      <c r="I65" s="2" t="s">
        <v>52</v>
      </c>
      <c r="J65" s="2" t="s">
        <v>68</v>
      </c>
      <c r="K65" s="2" t="s">
        <v>216</v>
      </c>
      <c r="L65" s="2">
        <v>8</v>
      </c>
      <c r="M65" s="2">
        <v>866.37</v>
      </c>
      <c r="N65" s="2">
        <v>0.3</v>
      </c>
      <c r="O65" s="2">
        <v>6930.96</v>
      </c>
      <c r="P65" s="5">
        <v>2124.06</v>
      </c>
    </row>
    <row r="66" spans="1:16" x14ac:dyDescent="0.35">
      <c r="A66" s="4" t="s">
        <v>217</v>
      </c>
      <c r="B66" s="3">
        <v>45019</v>
      </c>
      <c r="C66" s="3">
        <v>45021</v>
      </c>
      <c r="D66" s="2" t="s">
        <v>65</v>
      </c>
      <c r="E66" s="2" t="s">
        <v>218</v>
      </c>
      <c r="F66" s="2" t="s">
        <v>27</v>
      </c>
      <c r="G66" s="2" t="s">
        <v>103</v>
      </c>
      <c r="H66" s="2" t="s">
        <v>62</v>
      </c>
      <c r="I66" s="2" t="s">
        <v>52</v>
      </c>
      <c r="J66" s="2" t="s">
        <v>53</v>
      </c>
      <c r="K66" s="2" t="s">
        <v>91</v>
      </c>
      <c r="L66" s="2">
        <v>4</v>
      </c>
      <c r="M66" s="2">
        <v>134.13</v>
      </c>
      <c r="N66" s="2">
        <v>0</v>
      </c>
      <c r="O66" s="2" t="s">
        <v>219</v>
      </c>
      <c r="P66" s="5">
        <v>-23.04</v>
      </c>
    </row>
    <row r="67" spans="1:16" x14ac:dyDescent="0.35">
      <c r="A67" s="4" t="s">
        <v>220</v>
      </c>
      <c r="B67" s="3">
        <v>45300</v>
      </c>
      <c r="C67" s="3">
        <v>45301</v>
      </c>
      <c r="D67" s="2" t="s">
        <v>65</v>
      </c>
      <c r="E67" s="2" t="s">
        <v>221</v>
      </c>
      <c r="F67" s="2" t="s">
        <v>27</v>
      </c>
      <c r="G67" s="2" t="s">
        <v>28</v>
      </c>
      <c r="H67" s="2" t="s">
        <v>29</v>
      </c>
      <c r="I67" s="2" t="s">
        <v>30</v>
      </c>
      <c r="J67" s="2" t="s">
        <v>99</v>
      </c>
      <c r="K67" s="2" t="s">
        <v>100</v>
      </c>
      <c r="L67" s="2">
        <v>5</v>
      </c>
      <c r="M67" s="2">
        <v>436.01</v>
      </c>
      <c r="N67" s="2">
        <v>0</v>
      </c>
      <c r="O67" s="2">
        <v>2180.0500000000002</v>
      </c>
      <c r="P67" s="5">
        <v>52.92</v>
      </c>
    </row>
    <row r="68" spans="1:16" x14ac:dyDescent="0.35">
      <c r="A68" s="4" t="s">
        <v>222</v>
      </c>
      <c r="B68" s="3">
        <v>44947</v>
      </c>
      <c r="C68" s="3">
        <v>44953</v>
      </c>
      <c r="D68" s="2" t="s">
        <v>17</v>
      </c>
      <c r="E68" s="2" t="s">
        <v>223</v>
      </c>
      <c r="F68" s="2" t="s">
        <v>27</v>
      </c>
      <c r="G68" s="2" t="s">
        <v>111</v>
      </c>
      <c r="H68" s="2" t="s">
        <v>129</v>
      </c>
      <c r="I68" s="2" t="s">
        <v>52</v>
      </c>
      <c r="J68" s="2" t="s">
        <v>53</v>
      </c>
      <c r="K68" s="2" t="s">
        <v>91</v>
      </c>
      <c r="L68" s="2">
        <v>2</v>
      </c>
      <c r="M68" s="2">
        <v>728.45</v>
      </c>
      <c r="N68" s="2">
        <v>0</v>
      </c>
      <c r="O68" s="2">
        <v>1456.9</v>
      </c>
      <c r="P68" s="5">
        <v>284.72000000000003</v>
      </c>
    </row>
    <row r="69" spans="1:16" x14ac:dyDescent="0.35">
      <c r="A69" s="4" t="s">
        <v>224</v>
      </c>
      <c r="B69" s="3">
        <v>45290</v>
      </c>
      <c r="C69" s="3">
        <v>45292</v>
      </c>
      <c r="D69" s="2" t="s">
        <v>44</v>
      </c>
      <c r="E69" s="2" t="s">
        <v>225</v>
      </c>
      <c r="F69" s="2" t="s">
        <v>19</v>
      </c>
      <c r="G69" s="2" t="s">
        <v>187</v>
      </c>
      <c r="H69" s="2" t="s">
        <v>159</v>
      </c>
      <c r="I69" s="2" t="s">
        <v>22</v>
      </c>
      <c r="J69" s="2" t="s">
        <v>37</v>
      </c>
      <c r="K69" s="2" t="s">
        <v>38</v>
      </c>
      <c r="L69" s="2">
        <v>7</v>
      </c>
      <c r="M69" s="2">
        <v>834.28</v>
      </c>
      <c r="N69" s="2">
        <v>0.15</v>
      </c>
      <c r="O69" s="2">
        <v>5839.96</v>
      </c>
      <c r="P69" s="5">
        <v>195.55</v>
      </c>
    </row>
    <row r="70" spans="1:16" x14ac:dyDescent="0.35">
      <c r="A70" s="4" t="s">
        <v>226</v>
      </c>
      <c r="B70" s="3">
        <v>45463</v>
      </c>
      <c r="C70" s="3">
        <v>45464</v>
      </c>
      <c r="D70" s="2" t="s">
        <v>17</v>
      </c>
      <c r="E70" s="2" t="s">
        <v>227</v>
      </c>
      <c r="F70" s="2" t="s">
        <v>27</v>
      </c>
      <c r="G70" s="2" t="s">
        <v>187</v>
      </c>
      <c r="H70" s="2" t="s">
        <v>29</v>
      </c>
      <c r="I70" s="2" t="s">
        <v>52</v>
      </c>
      <c r="J70" s="2" t="s">
        <v>78</v>
      </c>
      <c r="K70" s="2" t="s">
        <v>79</v>
      </c>
      <c r="L70" s="2">
        <v>2</v>
      </c>
      <c r="M70" s="2">
        <v>864.53</v>
      </c>
      <c r="N70" s="2">
        <v>0.1</v>
      </c>
      <c r="O70" s="2">
        <v>1729.06</v>
      </c>
      <c r="P70" s="5">
        <v>533.13</v>
      </c>
    </row>
    <row r="71" spans="1:16" x14ac:dyDescent="0.35">
      <c r="A71" s="4" t="s">
        <v>228</v>
      </c>
      <c r="B71" s="3">
        <v>44930</v>
      </c>
      <c r="C71" s="3">
        <v>44933</v>
      </c>
      <c r="D71" s="2"/>
      <c r="E71" s="2" t="s">
        <v>229</v>
      </c>
      <c r="F71" s="2" t="s">
        <v>27</v>
      </c>
      <c r="G71" s="2" t="s">
        <v>111</v>
      </c>
      <c r="H71" s="2" t="s">
        <v>112</v>
      </c>
      <c r="I71" s="2" t="s">
        <v>22</v>
      </c>
      <c r="J71" s="2" t="s">
        <v>37</v>
      </c>
      <c r="K71" s="2" t="s">
        <v>144</v>
      </c>
      <c r="L71" s="2">
        <v>3</v>
      </c>
      <c r="M71" s="2">
        <v>368.58</v>
      </c>
      <c r="N71" s="2">
        <v>0.3</v>
      </c>
      <c r="O71" s="2">
        <v>1105.74</v>
      </c>
      <c r="P71" s="5">
        <v>32.47</v>
      </c>
    </row>
    <row r="72" spans="1:16" x14ac:dyDescent="0.35">
      <c r="A72" s="4" t="s">
        <v>230</v>
      </c>
      <c r="B72" s="3">
        <v>45032</v>
      </c>
      <c r="C72" s="3">
        <v>45035</v>
      </c>
      <c r="D72" s="2" t="s">
        <v>65</v>
      </c>
      <c r="E72" s="2" t="s">
        <v>231</v>
      </c>
      <c r="F72" s="2" t="s">
        <v>35</v>
      </c>
      <c r="G72" s="2" t="s">
        <v>45</v>
      </c>
      <c r="H72" s="2" t="s">
        <v>46</v>
      </c>
      <c r="I72" s="2" t="s">
        <v>22</v>
      </c>
      <c r="J72" s="2" t="s">
        <v>23</v>
      </c>
      <c r="K72" s="2" t="s">
        <v>178</v>
      </c>
      <c r="L72" s="2">
        <v>3</v>
      </c>
      <c r="M72" s="2">
        <v>756.07</v>
      </c>
      <c r="N72" s="2">
        <v>0.3</v>
      </c>
      <c r="O72" s="2">
        <v>2268.21</v>
      </c>
      <c r="P72" s="5">
        <v>589.02</v>
      </c>
    </row>
    <row r="73" spans="1:16" x14ac:dyDescent="0.35">
      <c r="A73" s="4" t="s">
        <v>232</v>
      </c>
      <c r="B73" s="3">
        <v>45495</v>
      </c>
      <c r="C73" s="3">
        <v>45502</v>
      </c>
      <c r="D73" s="2" t="s">
        <v>65</v>
      </c>
      <c r="E73" s="2" t="s">
        <v>233</v>
      </c>
      <c r="F73" s="2" t="s">
        <v>27</v>
      </c>
      <c r="G73" s="2" t="s">
        <v>187</v>
      </c>
      <c r="H73" s="2" t="s">
        <v>29</v>
      </c>
      <c r="I73" s="2" t="s">
        <v>52</v>
      </c>
      <c r="J73" s="2" t="s">
        <v>160</v>
      </c>
      <c r="K73" s="2" t="s">
        <v>234</v>
      </c>
      <c r="L73" s="2">
        <v>7</v>
      </c>
      <c r="M73" s="2">
        <v>624.15</v>
      </c>
      <c r="N73" s="2">
        <v>0</v>
      </c>
      <c r="O73" s="2">
        <v>4369.05</v>
      </c>
      <c r="P73" s="5">
        <v>795.08</v>
      </c>
    </row>
    <row r="74" spans="1:16" x14ac:dyDescent="0.35">
      <c r="A74" s="4" t="s">
        <v>235</v>
      </c>
      <c r="B74" s="3">
        <v>45417</v>
      </c>
      <c r="C74" s="3">
        <v>45423</v>
      </c>
      <c r="D74" s="2" t="s">
        <v>65</v>
      </c>
      <c r="E74" s="2" t="s">
        <v>233</v>
      </c>
      <c r="F74" s="2" t="s">
        <v>19</v>
      </c>
      <c r="G74" s="2" t="s">
        <v>211</v>
      </c>
      <c r="H74" s="2" t="s">
        <v>159</v>
      </c>
      <c r="I74" s="2" t="s">
        <v>22</v>
      </c>
      <c r="J74" s="2" t="s">
        <v>37</v>
      </c>
      <c r="K74" s="2" t="s">
        <v>38</v>
      </c>
      <c r="L74" s="2">
        <v>1</v>
      </c>
      <c r="M74" s="2">
        <v>713.04</v>
      </c>
      <c r="N74" s="2">
        <v>0</v>
      </c>
      <c r="O74" s="2">
        <v>713.04</v>
      </c>
      <c r="P74" s="5">
        <v>5.56</v>
      </c>
    </row>
    <row r="75" spans="1:16" x14ac:dyDescent="0.35">
      <c r="A75" s="4" t="s">
        <v>236</v>
      </c>
      <c r="B75" s="3">
        <v>45451</v>
      </c>
      <c r="C75" s="3">
        <v>45457</v>
      </c>
      <c r="D75" s="2" t="s">
        <v>65</v>
      </c>
      <c r="E75" s="2" t="s">
        <v>237</v>
      </c>
      <c r="F75" s="2" t="s">
        <v>27</v>
      </c>
      <c r="G75" s="2" t="s">
        <v>103</v>
      </c>
      <c r="H75" s="2" t="s">
        <v>62</v>
      </c>
      <c r="I75" s="2" t="s">
        <v>30</v>
      </c>
      <c r="J75" s="2" t="s">
        <v>41</v>
      </c>
      <c r="K75" s="2" t="s">
        <v>191</v>
      </c>
      <c r="L75" s="2">
        <v>12</v>
      </c>
      <c r="M75" s="2">
        <v>126.27</v>
      </c>
      <c r="N75" s="2">
        <v>0</v>
      </c>
      <c r="O75" s="2">
        <v>1515.24</v>
      </c>
      <c r="P75" s="5">
        <v>-187.22</v>
      </c>
    </row>
    <row r="76" spans="1:16" x14ac:dyDescent="0.35">
      <c r="A76" s="4" t="s">
        <v>238</v>
      </c>
      <c r="B76" s="3">
        <v>45074</v>
      </c>
      <c r="C76" s="3">
        <v>45079</v>
      </c>
      <c r="D76" s="2" t="s">
        <v>44</v>
      </c>
      <c r="E76" s="2" t="s">
        <v>239</v>
      </c>
      <c r="F76" s="2" t="s">
        <v>19</v>
      </c>
      <c r="G76" s="2" t="s">
        <v>187</v>
      </c>
      <c r="H76" s="2" t="s">
        <v>29</v>
      </c>
      <c r="I76" s="2" t="s">
        <v>30</v>
      </c>
      <c r="J76" s="2" t="s">
        <v>41</v>
      </c>
      <c r="K76" s="2" t="s">
        <v>191</v>
      </c>
      <c r="L76" s="2">
        <v>1</v>
      </c>
      <c r="M76" s="2">
        <v>673.11</v>
      </c>
      <c r="N76" s="2">
        <v>0.15</v>
      </c>
      <c r="O76" s="2">
        <v>673.11</v>
      </c>
      <c r="P76" s="5">
        <v>23.33</v>
      </c>
    </row>
    <row r="77" spans="1:16" x14ac:dyDescent="0.35">
      <c r="A77" s="4" t="s">
        <v>240</v>
      </c>
      <c r="B77" s="3">
        <v>45089</v>
      </c>
      <c r="C77" s="3">
        <v>45091</v>
      </c>
      <c r="D77" s="2" t="s">
        <v>59</v>
      </c>
      <c r="E77" s="2" t="s">
        <v>241</v>
      </c>
      <c r="F77" s="2" t="s">
        <v>27</v>
      </c>
      <c r="G77" s="2" t="s">
        <v>181</v>
      </c>
      <c r="H77" s="2" t="s">
        <v>46</v>
      </c>
      <c r="I77" s="2" t="s">
        <v>22</v>
      </c>
      <c r="J77" s="2" t="s">
        <v>37</v>
      </c>
      <c r="K77" s="2" t="s">
        <v>144</v>
      </c>
      <c r="L77" s="2">
        <v>2</v>
      </c>
      <c r="M77" s="2">
        <v>810.32</v>
      </c>
      <c r="N77" s="2">
        <v>0</v>
      </c>
      <c r="O77" s="2">
        <v>1620.64</v>
      </c>
      <c r="P77" s="5">
        <v>346.95</v>
      </c>
    </row>
    <row r="78" spans="1:16" x14ac:dyDescent="0.35">
      <c r="A78" s="4" t="s">
        <v>242</v>
      </c>
      <c r="B78" s="3">
        <v>45172</v>
      </c>
      <c r="C78" s="3">
        <v>45176</v>
      </c>
      <c r="D78" s="2" t="s">
        <v>59</v>
      </c>
      <c r="E78" s="2" t="s">
        <v>243</v>
      </c>
      <c r="F78" s="2" t="s">
        <v>19</v>
      </c>
      <c r="G78" s="2" t="s">
        <v>51</v>
      </c>
      <c r="H78" s="2" t="s">
        <v>36</v>
      </c>
      <c r="I78" s="2" t="s">
        <v>52</v>
      </c>
      <c r="J78" s="2" t="s">
        <v>160</v>
      </c>
      <c r="K78" s="2" t="s">
        <v>234</v>
      </c>
      <c r="L78" s="2">
        <v>12</v>
      </c>
      <c r="M78" s="2">
        <v>672.68</v>
      </c>
      <c r="N78" s="2">
        <v>0.2</v>
      </c>
      <c r="O78" s="2">
        <v>8072.16</v>
      </c>
      <c r="P78" s="5">
        <v>-24.42</v>
      </c>
    </row>
    <row r="79" spans="1:16" x14ac:dyDescent="0.35">
      <c r="A79" s="4" t="s">
        <v>244</v>
      </c>
      <c r="B79" s="3">
        <v>45010</v>
      </c>
      <c r="C79" s="3">
        <v>45015</v>
      </c>
      <c r="D79" s="2" t="s">
        <v>17</v>
      </c>
      <c r="E79" s="2" t="s">
        <v>135</v>
      </c>
      <c r="F79" s="2" t="s">
        <v>19</v>
      </c>
      <c r="G79" s="2" t="s">
        <v>86</v>
      </c>
      <c r="H79" s="2" t="s">
        <v>29</v>
      </c>
      <c r="I79" s="2" t="s">
        <v>22</v>
      </c>
      <c r="J79" s="2" t="s">
        <v>37</v>
      </c>
      <c r="K79" s="2" t="s">
        <v>38</v>
      </c>
      <c r="L79" s="2">
        <v>5</v>
      </c>
      <c r="M79" s="2">
        <v>505.24</v>
      </c>
      <c r="N79" s="2">
        <v>0.2</v>
      </c>
      <c r="O79" s="2">
        <v>2526.1999999999998</v>
      </c>
      <c r="P79" s="5">
        <v>621.02</v>
      </c>
    </row>
    <row r="80" spans="1:16" x14ac:dyDescent="0.35">
      <c r="A80" s="4" t="s">
        <v>245</v>
      </c>
      <c r="B80" s="3">
        <v>45572</v>
      </c>
      <c r="C80" s="3">
        <v>45573</v>
      </c>
      <c r="D80" s="2" t="s">
        <v>17</v>
      </c>
      <c r="E80" s="2" t="s">
        <v>193</v>
      </c>
      <c r="F80" s="2" t="s">
        <v>27</v>
      </c>
      <c r="G80" s="2" t="s">
        <v>86</v>
      </c>
      <c r="H80" s="2" t="s">
        <v>29</v>
      </c>
      <c r="I80" s="2" t="s">
        <v>52</v>
      </c>
      <c r="J80" s="2" t="s">
        <v>68</v>
      </c>
      <c r="K80" s="2" t="s">
        <v>216</v>
      </c>
      <c r="L80" s="2">
        <v>7</v>
      </c>
      <c r="M80" s="2">
        <v>268.51</v>
      </c>
      <c r="N80" s="2">
        <v>0</v>
      </c>
      <c r="O80" s="2">
        <v>1879.57</v>
      </c>
      <c r="P80" s="5">
        <v>366.47</v>
      </c>
    </row>
    <row r="81" spans="1:16" x14ac:dyDescent="0.35">
      <c r="A81" s="4" t="s">
        <v>246</v>
      </c>
      <c r="B81" s="3">
        <v>44968</v>
      </c>
      <c r="C81" s="3">
        <v>44970</v>
      </c>
      <c r="D81" s="2" t="s">
        <v>17</v>
      </c>
      <c r="E81" s="2" t="s">
        <v>197</v>
      </c>
      <c r="F81" s="2" t="s">
        <v>27</v>
      </c>
      <c r="G81" s="2" t="s">
        <v>132</v>
      </c>
      <c r="H81" s="2" t="s">
        <v>129</v>
      </c>
      <c r="I81" s="2" t="s">
        <v>30</v>
      </c>
      <c r="J81" s="2" t="s">
        <v>99</v>
      </c>
      <c r="K81" s="2" t="s">
        <v>247</v>
      </c>
      <c r="L81" s="2">
        <v>2</v>
      </c>
      <c r="M81" s="2">
        <v>381.88</v>
      </c>
      <c r="N81" s="2">
        <v>0.15</v>
      </c>
      <c r="O81" s="2">
        <v>763.76</v>
      </c>
      <c r="P81" s="5">
        <v>74.680000000000007</v>
      </c>
    </row>
    <row r="82" spans="1:16" x14ac:dyDescent="0.35">
      <c r="A82" s="4" t="s">
        <v>248</v>
      </c>
      <c r="B82" s="3">
        <v>45402</v>
      </c>
      <c r="C82" s="3">
        <v>45404</v>
      </c>
      <c r="D82" s="2" t="s">
        <v>65</v>
      </c>
      <c r="E82" s="2" t="s">
        <v>249</v>
      </c>
      <c r="F82" s="2" t="s">
        <v>35</v>
      </c>
      <c r="G82" s="2" t="s">
        <v>67</v>
      </c>
      <c r="H82" s="2" t="s">
        <v>21</v>
      </c>
      <c r="I82" s="2" t="s">
        <v>52</v>
      </c>
      <c r="J82" s="2" t="s">
        <v>68</v>
      </c>
      <c r="K82" s="2" t="s">
        <v>108</v>
      </c>
      <c r="L82" s="2">
        <v>3</v>
      </c>
      <c r="M82" s="2">
        <v>685.8</v>
      </c>
      <c r="N82" s="2">
        <v>0.15</v>
      </c>
      <c r="O82" s="2">
        <v>2057.4</v>
      </c>
      <c r="P82" s="5">
        <v>269.16000000000003</v>
      </c>
    </row>
    <row r="83" spans="1:16" x14ac:dyDescent="0.35">
      <c r="A83" s="4" t="s">
        <v>250</v>
      </c>
      <c r="B83" s="3">
        <v>45535</v>
      </c>
      <c r="C83" s="3">
        <v>45540</v>
      </c>
      <c r="D83" s="2" t="s">
        <v>65</v>
      </c>
      <c r="E83" s="2" t="s">
        <v>251</v>
      </c>
      <c r="F83" s="2" t="s">
        <v>19</v>
      </c>
      <c r="G83" s="2" t="s">
        <v>132</v>
      </c>
      <c r="H83" s="2" t="s">
        <v>112</v>
      </c>
      <c r="I83" s="2" t="s">
        <v>52</v>
      </c>
      <c r="J83" s="2" t="s">
        <v>53</v>
      </c>
      <c r="K83" s="2" t="s">
        <v>54</v>
      </c>
      <c r="L83" s="2">
        <v>8</v>
      </c>
      <c r="M83" s="2">
        <v>453.72</v>
      </c>
      <c r="N83" s="2">
        <v>0</v>
      </c>
      <c r="O83" s="2">
        <v>3629.76</v>
      </c>
      <c r="P83" s="5">
        <v>273.18</v>
      </c>
    </row>
    <row r="84" spans="1:16" x14ac:dyDescent="0.35">
      <c r="A84" s="4" t="s">
        <v>252</v>
      </c>
      <c r="B84" s="3">
        <v>45442</v>
      </c>
      <c r="C84" s="3">
        <v>45447</v>
      </c>
      <c r="D84" s="2" t="s">
        <v>65</v>
      </c>
      <c r="E84" s="2" t="s">
        <v>184</v>
      </c>
      <c r="F84" s="2" t="s">
        <v>35</v>
      </c>
      <c r="G84" s="2" t="s">
        <v>61</v>
      </c>
      <c r="H84" s="2" t="s">
        <v>73</v>
      </c>
      <c r="I84" s="2" t="s">
        <v>22</v>
      </c>
      <c r="J84" s="2" t="s">
        <v>74</v>
      </c>
      <c r="K84" s="2" t="s">
        <v>253</v>
      </c>
      <c r="L84" s="2">
        <v>9</v>
      </c>
      <c r="M84" s="2">
        <v>399.71</v>
      </c>
      <c r="N84" s="2">
        <v>0</v>
      </c>
      <c r="O84" s="2">
        <v>3597.39</v>
      </c>
      <c r="P84" s="5">
        <v>-188.82</v>
      </c>
    </row>
    <row r="85" spans="1:16" x14ac:dyDescent="0.35">
      <c r="A85" s="4" t="s">
        <v>254</v>
      </c>
      <c r="B85" s="3">
        <v>45112</v>
      </c>
      <c r="C85" s="3">
        <v>45113</v>
      </c>
      <c r="D85" s="2" t="s">
        <v>59</v>
      </c>
      <c r="E85" s="2" t="s">
        <v>255</v>
      </c>
      <c r="F85" s="2" t="s">
        <v>35</v>
      </c>
      <c r="G85" s="2" t="s">
        <v>20</v>
      </c>
      <c r="H85" s="2" t="s">
        <v>21</v>
      </c>
      <c r="I85" s="2" t="s">
        <v>30</v>
      </c>
      <c r="J85" s="2" t="s">
        <v>47</v>
      </c>
      <c r="K85" s="2" t="s">
        <v>94</v>
      </c>
      <c r="L85" s="2">
        <v>5</v>
      </c>
      <c r="M85" s="2">
        <v>119.04</v>
      </c>
      <c r="N85" s="2">
        <v>0</v>
      </c>
      <c r="O85" s="2">
        <v>595.20000000000005</v>
      </c>
      <c r="P85" s="5">
        <v>186.22</v>
      </c>
    </row>
    <row r="86" spans="1:16" x14ac:dyDescent="0.35">
      <c r="A86" s="4" t="s">
        <v>256</v>
      </c>
      <c r="B86" s="3">
        <v>45345</v>
      </c>
      <c r="C86" s="3">
        <v>45348</v>
      </c>
      <c r="D86" s="2" t="s">
        <v>59</v>
      </c>
      <c r="E86" s="2" t="s">
        <v>257</v>
      </c>
      <c r="F86" s="2" t="s">
        <v>27</v>
      </c>
      <c r="G86" s="2" t="s">
        <v>187</v>
      </c>
      <c r="H86" s="2" t="s">
        <v>29</v>
      </c>
      <c r="I86" s="2" t="s">
        <v>52</v>
      </c>
      <c r="J86" s="2" t="s">
        <v>68</v>
      </c>
      <c r="K86" s="2" t="s">
        <v>108</v>
      </c>
      <c r="L86" s="2">
        <v>9</v>
      </c>
      <c r="M86" s="2">
        <v>484.39</v>
      </c>
      <c r="N86" s="2">
        <v>10</v>
      </c>
      <c r="O86" s="2">
        <v>4359.51</v>
      </c>
      <c r="P86" s="5">
        <v>-163.27000000000001</v>
      </c>
    </row>
    <row r="87" spans="1:16" x14ac:dyDescent="0.35">
      <c r="A87" s="4" t="s">
        <v>258</v>
      </c>
      <c r="B87" s="3">
        <v>45014</v>
      </c>
      <c r="C87" s="3">
        <v>45017</v>
      </c>
      <c r="D87" s="2" t="s">
        <v>44</v>
      </c>
      <c r="E87" s="2" t="s">
        <v>259</v>
      </c>
      <c r="F87" s="2" t="s">
        <v>27</v>
      </c>
      <c r="G87" s="2" t="s">
        <v>187</v>
      </c>
      <c r="H87" s="2" t="s">
        <v>29</v>
      </c>
      <c r="I87" s="2" t="s">
        <v>30</v>
      </c>
      <c r="J87" s="2" t="s">
        <v>31</v>
      </c>
      <c r="K87" s="2" t="s">
        <v>57</v>
      </c>
      <c r="L87" s="2">
        <v>6</v>
      </c>
      <c r="M87" s="2">
        <v>129.36000000000001</v>
      </c>
      <c r="N87" s="2">
        <v>0.3</v>
      </c>
      <c r="O87" s="2">
        <v>776.16</v>
      </c>
      <c r="P87" s="5">
        <v>-66.62</v>
      </c>
    </row>
    <row r="88" spans="1:16" x14ac:dyDescent="0.35">
      <c r="A88" s="4" t="s">
        <v>260</v>
      </c>
      <c r="B88" s="3">
        <v>44953</v>
      </c>
      <c r="C88" s="3">
        <v>44959</v>
      </c>
      <c r="D88" s="2" t="s">
        <v>17</v>
      </c>
      <c r="E88" s="2" t="s">
        <v>261</v>
      </c>
      <c r="F88" s="2" t="s">
        <v>27</v>
      </c>
      <c r="G88" s="2" t="s">
        <v>128</v>
      </c>
      <c r="H88" s="2" t="s">
        <v>112</v>
      </c>
      <c r="I88" s="2" t="s">
        <v>22</v>
      </c>
      <c r="J88" s="2" t="s">
        <v>74</v>
      </c>
      <c r="K88" s="2" t="s">
        <v>253</v>
      </c>
      <c r="L88" s="2">
        <v>8</v>
      </c>
      <c r="M88" s="2">
        <v>754.51</v>
      </c>
      <c r="N88" s="2">
        <v>0.3</v>
      </c>
      <c r="O88" s="2">
        <v>6036.08</v>
      </c>
      <c r="P88" s="5">
        <v>-428.04</v>
      </c>
    </row>
    <row r="89" spans="1:16" x14ac:dyDescent="0.35">
      <c r="A89" s="4" t="s">
        <v>262</v>
      </c>
      <c r="B89" s="3">
        <v>45364</v>
      </c>
      <c r="C89" s="3">
        <v>45370</v>
      </c>
      <c r="D89" s="2" t="s">
        <v>17</v>
      </c>
      <c r="E89" s="2" t="s">
        <v>263</v>
      </c>
      <c r="F89" s="2" t="s">
        <v>35</v>
      </c>
      <c r="G89" s="2" t="s">
        <v>51</v>
      </c>
      <c r="H89" s="2" t="s">
        <v>36</v>
      </c>
      <c r="I89" s="2" t="s">
        <v>22</v>
      </c>
      <c r="J89" s="2" t="s">
        <v>23</v>
      </c>
      <c r="K89" s="2" t="s">
        <v>178</v>
      </c>
      <c r="L89" s="2">
        <v>1</v>
      </c>
      <c r="M89" s="2">
        <v>602.23</v>
      </c>
      <c r="N89" s="2">
        <v>0</v>
      </c>
      <c r="O89" s="2">
        <v>602.23</v>
      </c>
      <c r="P89" s="5">
        <v>-38.520000000000003</v>
      </c>
    </row>
    <row r="90" spans="1:16" x14ac:dyDescent="0.35">
      <c r="A90" s="4" t="s">
        <v>264</v>
      </c>
      <c r="B90" s="3">
        <v>45454</v>
      </c>
      <c r="C90" s="3">
        <v>45459</v>
      </c>
      <c r="D90" s="2" t="s">
        <v>65</v>
      </c>
      <c r="E90" s="2" t="s">
        <v>265</v>
      </c>
      <c r="F90" s="2" t="s">
        <v>35</v>
      </c>
      <c r="G90" s="2" t="s">
        <v>211</v>
      </c>
      <c r="H90" s="2" t="s">
        <v>29</v>
      </c>
      <c r="I90" s="2" t="s">
        <v>52</v>
      </c>
      <c r="J90" s="2" t="s">
        <v>160</v>
      </c>
      <c r="K90" s="2" t="s">
        <v>161</v>
      </c>
      <c r="L90" s="2">
        <v>10</v>
      </c>
      <c r="M90" s="2">
        <v>377.83</v>
      </c>
      <c r="N90" s="2">
        <v>0.2</v>
      </c>
      <c r="O90" s="2">
        <v>3778.3</v>
      </c>
      <c r="P90" s="5">
        <v>695.61</v>
      </c>
    </row>
    <row r="91" spans="1:16" x14ac:dyDescent="0.35">
      <c r="A91" s="4" t="s">
        <v>266</v>
      </c>
      <c r="B91" s="3">
        <v>45169</v>
      </c>
      <c r="C91" s="3">
        <v>45173</v>
      </c>
      <c r="D91" s="2" t="s">
        <v>44</v>
      </c>
      <c r="E91" s="2" t="s">
        <v>267</v>
      </c>
      <c r="F91" s="2" t="s">
        <v>19</v>
      </c>
      <c r="G91" s="2" t="s">
        <v>90</v>
      </c>
      <c r="H91" s="2" t="s">
        <v>62</v>
      </c>
      <c r="I91" s="2" t="s">
        <v>22</v>
      </c>
      <c r="J91" s="2" t="s">
        <v>115</v>
      </c>
      <c r="K91" s="2" t="s">
        <v>147</v>
      </c>
      <c r="L91" s="2">
        <v>1</v>
      </c>
      <c r="M91" s="2">
        <v>511.51</v>
      </c>
      <c r="N91" s="2">
        <v>0.2</v>
      </c>
      <c r="O91" s="2">
        <v>511.51</v>
      </c>
      <c r="P91" s="5">
        <v>122.33</v>
      </c>
    </row>
    <row r="92" spans="1:16" x14ac:dyDescent="0.35">
      <c r="A92" s="4" t="s">
        <v>268</v>
      </c>
      <c r="B92" s="3">
        <v>45435</v>
      </c>
      <c r="C92" s="3">
        <v>45438</v>
      </c>
      <c r="D92" s="2" t="s">
        <v>44</v>
      </c>
      <c r="E92" s="2" t="s">
        <v>269</v>
      </c>
      <c r="F92" s="2" t="s">
        <v>35</v>
      </c>
      <c r="G92" s="2" t="s">
        <v>111</v>
      </c>
      <c r="H92" s="2" t="s">
        <v>129</v>
      </c>
      <c r="I92" s="2" t="s">
        <v>22</v>
      </c>
      <c r="J92" s="2" t="s">
        <v>74</v>
      </c>
      <c r="K92" s="2" t="s">
        <v>75</v>
      </c>
      <c r="L92" s="2">
        <v>5</v>
      </c>
      <c r="M92" s="2">
        <v>395.48</v>
      </c>
      <c r="N92" s="2">
        <v>0.2</v>
      </c>
      <c r="O92" s="2">
        <v>1977.4</v>
      </c>
      <c r="P92" s="5">
        <v>120.87</v>
      </c>
    </row>
    <row r="93" spans="1:16" x14ac:dyDescent="0.35">
      <c r="A93" s="4" t="s">
        <v>270</v>
      </c>
      <c r="B93" s="3">
        <v>45029</v>
      </c>
      <c r="C93" s="3">
        <v>45031</v>
      </c>
      <c r="D93" s="2" t="s">
        <v>17</v>
      </c>
      <c r="E93" s="2" t="s">
        <v>81</v>
      </c>
      <c r="F93" s="2" t="s">
        <v>27</v>
      </c>
      <c r="G93" s="2" t="s">
        <v>20</v>
      </c>
      <c r="H93" s="2" t="s">
        <v>36</v>
      </c>
      <c r="I93" s="2" t="s">
        <v>30</v>
      </c>
      <c r="J93" s="2" t="s">
        <v>41</v>
      </c>
      <c r="K93" s="2" t="s">
        <v>42</v>
      </c>
      <c r="L93" s="2">
        <v>8</v>
      </c>
      <c r="M93" s="2">
        <v>325.49</v>
      </c>
      <c r="N93" s="2">
        <v>0</v>
      </c>
      <c r="O93" s="2">
        <v>2603.92</v>
      </c>
      <c r="P93" s="5">
        <v>539.54999999999995</v>
      </c>
    </row>
    <row r="94" spans="1:16" x14ac:dyDescent="0.35">
      <c r="A94" s="4" t="s">
        <v>271</v>
      </c>
      <c r="B94" s="3">
        <v>45631</v>
      </c>
      <c r="C94" s="3">
        <v>45636</v>
      </c>
      <c r="D94" s="2" t="s">
        <v>65</v>
      </c>
      <c r="E94" s="2" t="s">
        <v>272</v>
      </c>
      <c r="F94" s="2" t="s">
        <v>27</v>
      </c>
      <c r="G94" s="2" t="s">
        <v>72</v>
      </c>
      <c r="H94" s="2" t="s">
        <v>62</v>
      </c>
      <c r="I94" s="2" t="s">
        <v>52</v>
      </c>
      <c r="J94" s="2" t="s">
        <v>160</v>
      </c>
      <c r="K94" s="2" t="s">
        <v>161</v>
      </c>
      <c r="L94" s="2">
        <v>9</v>
      </c>
      <c r="M94" s="2">
        <v>467.71</v>
      </c>
      <c r="N94" s="2">
        <v>0.2</v>
      </c>
      <c r="O94" s="2">
        <v>4209.3900000000003</v>
      </c>
      <c r="P94" s="5">
        <v>-498.95</v>
      </c>
    </row>
    <row r="95" spans="1:16" x14ac:dyDescent="0.35">
      <c r="A95" s="4" t="s">
        <v>273</v>
      </c>
      <c r="B95" s="3">
        <v>44931</v>
      </c>
      <c r="C95" s="3">
        <v>44936</v>
      </c>
      <c r="D95" s="2" t="s">
        <v>65</v>
      </c>
      <c r="E95" s="2" t="s">
        <v>274</v>
      </c>
      <c r="F95" s="2" t="s">
        <v>19</v>
      </c>
      <c r="G95" s="2" t="s">
        <v>45</v>
      </c>
      <c r="H95" s="2" t="s">
        <v>46</v>
      </c>
      <c r="I95" s="2" t="s">
        <v>22</v>
      </c>
      <c r="J95" s="2" t="s">
        <v>37</v>
      </c>
      <c r="K95" s="2" t="s">
        <v>38</v>
      </c>
      <c r="L95" s="2">
        <v>12</v>
      </c>
      <c r="M95" s="2">
        <v>734.64</v>
      </c>
      <c r="N95" s="2">
        <v>0</v>
      </c>
      <c r="O95" s="2">
        <v>8815.68</v>
      </c>
      <c r="P95" s="5">
        <v>385.27</v>
      </c>
    </row>
    <row r="96" spans="1:16" x14ac:dyDescent="0.35">
      <c r="A96" s="4" t="s">
        <v>275</v>
      </c>
      <c r="B96" s="3">
        <v>45364</v>
      </c>
      <c r="C96" s="3">
        <v>45367</v>
      </c>
      <c r="D96" s="2" t="s">
        <v>65</v>
      </c>
      <c r="E96" s="2" t="s">
        <v>276</v>
      </c>
      <c r="F96" s="2" t="s">
        <v>27</v>
      </c>
      <c r="G96" s="2" t="s">
        <v>103</v>
      </c>
      <c r="H96" s="2" t="s">
        <v>73</v>
      </c>
      <c r="I96" s="2" t="s">
        <v>30</v>
      </c>
      <c r="J96" s="2" t="s">
        <v>41</v>
      </c>
      <c r="K96" s="2" t="s">
        <v>105</v>
      </c>
      <c r="L96" s="2">
        <v>8</v>
      </c>
      <c r="M96" s="2">
        <v>596.47</v>
      </c>
      <c r="N96" s="2">
        <v>0.15</v>
      </c>
      <c r="O96" s="2">
        <v>4771.76</v>
      </c>
      <c r="P96" s="5">
        <v>1223.54</v>
      </c>
    </row>
    <row r="97" spans="1:16" x14ac:dyDescent="0.35">
      <c r="A97" s="4" t="s">
        <v>277</v>
      </c>
      <c r="B97" s="3">
        <v>45175</v>
      </c>
      <c r="C97" s="3">
        <v>45178</v>
      </c>
      <c r="D97" s="2" t="s">
        <v>59</v>
      </c>
      <c r="E97" s="2" t="s">
        <v>93</v>
      </c>
      <c r="F97" s="2" t="s">
        <v>19</v>
      </c>
      <c r="G97" s="2" t="s">
        <v>128</v>
      </c>
      <c r="H97" s="2" t="s">
        <v>129</v>
      </c>
      <c r="I97" s="2" t="s">
        <v>52</v>
      </c>
      <c r="J97" s="2" t="s">
        <v>160</v>
      </c>
      <c r="K97" s="2" t="s">
        <v>161</v>
      </c>
      <c r="L97" s="2">
        <v>9</v>
      </c>
      <c r="M97" s="2">
        <v>166.03</v>
      </c>
      <c r="N97" s="2">
        <v>0.3</v>
      </c>
      <c r="O97" s="2">
        <v>1494.27</v>
      </c>
      <c r="P97" s="5">
        <v>186.86</v>
      </c>
    </row>
    <row r="98" spans="1:16" x14ac:dyDescent="0.35">
      <c r="A98" s="4" t="s">
        <v>278</v>
      </c>
      <c r="B98" s="3">
        <v>45089</v>
      </c>
      <c r="C98" s="3">
        <v>45092</v>
      </c>
      <c r="D98" s="2" t="s">
        <v>65</v>
      </c>
      <c r="E98" s="2" t="s">
        <v>279</v>
      </c>
      <c r="F98" s="2" t="s">
        <v>19</v>
      </c>
      <c r="G98" s="2" t="s">
        <v>103</v>
      </c>
      <c r="H98" s="2" t="s">
        <v>62</v>
      </c>
      <c r="I98" s="2" t="s">
        <v>30</v>
      </c>
      <c r="J98" s="2" t="s">
        <v>99</v>
      </c>
      <c r="K98" s="2" t="s">
        <v>100</v>
      </c>
      <c r="L98" s="2">
        <v>11</v>
      </c>
      <c r="M98" s="2">
        <v>749.77</v>
      </c>
      <c r="N98" s="2">
        <v>0.1</v>
      </c>
      <c r="O98" s="2">
        <v>8247.4699999999993</v>
      </c>
      <c r="P98" s="5"/>
    </row>
    <row r="99" spans="1:16" x14ac:dyDescent="0.35">
      <c r="A99" s="4" t="s">
        <v>280</v>
      </c>
      <c r="B99" s="3">
        <v>45298</v>
      </c>
      <c r="C99" s="3">
        <v>45300</v>
      </c>
      <c r="D99" s="2" t="s">
        <v>65</v>
      </c>
      <c r="E99" s="2" t="s">
        <v>281</v>
      </c>
      <c r="F99" s="2" t="s">
        <v>35</v>
      </c>
      <c r="G99" s="2" t="s">
        <v>128</v>
      </c>
      <c r="H99" s="2" t="s">
        <v>112</v>
      </c>
      <c r="I99" s="2" t="s">
        <v>22</v>
      </c>
      <c r="J99" s="2" t="s">
        <v>115</v>
      </c>
      <c r="K99" s="2" t="s">
        <v>147</v>
      </c>
      <c r="L99" s="2">
        <v>3</v>
      </c>
      <c r="M99" s="2">
        <v>771.85</v>
      </c>
      <c r="N99" s="2">
        <v>0</v>
      </c>
      <c r="O99" s="2">
        <v>2315.5500000000002</v>
      </c>
      <c r="P99" s="5">
        <v>449.27</v>
      </c>
    </row>
    <row r="100" spans="1:16" x14ac:dyDescent="0.35">
      <c r="A100" s="4" t="s">
        <v>282</v>
      </c>
      <c r="B100" s="3">
        <v>45326</v>
      </c>
      <c r="C100" s="3">
        <v>45327</v>
      </c>
      <c r="D100" s="2" t="s">
        <v>59</v>
      </c>
      <c r="E100" s="2" t="s">
        <v>283</v>
      </c>
      <c r="F100" s="2" t="s">
        <v>35</v>
      </c>
      <c r="G100" s="2" t="s">
        <v>51</v>
      </c>
      <c r="H100" s="2" t="s">
        <v>21</v>
      </c>
      <c r="I100" s="2" t="s">
        <v>22</v>
      </c>
      <c r="J100" s="2" t="s">
        <v>37</v>
      </c>
      <c r="K100" s="2" t="s">
        <v>38</v>
      </c>
      <c r="L100" s="2">
        <v>4</v>
      </c>
      <c r="M100" s="2">
        <v>27.7</v>
      </c>
      <c r="N100" s="2">
        <v>0.15</v>
      </c>
      <c r="O100" s="2">
        <v>110.8</v>
      </c>
      <c r="P100" s="5">
        <v>-3.41</v>
      </c>
    </row>
    <row r="101" spans="1:16" x14ac:dyDescent="0.35">
      <c r="A101" s="4" t="s">
        <v>284</v>
      </c>
      <c r="B101" s="3">
        <v>45304</v>
      </c>
      <c r="C101" s="3">
        <v>45306</v>
      </c>
      <c r="D101" s="2" t="s">
        <v>17</v>
      </c>
      <c r="E101" s="2" t="s">
        <v>285</v>
      </c>
      <c r="F101" s="2" t="s">
        <v>19</v>
      </c>
      <c r="G101" s="2" t="s">
        <v>51</v>
      </c>
      <c r="H101" s="2" t="s">
        <v>21</v>
      </c>
      <c r="I101" s="2" t="s">
        <v>52</v>
      </c>
      <c r="J101" s="2" t="s">
        <v>78</v>
      </c>
      <c r="K101" s="2" t="s">
        <v>79</v>
      </c>
      <c r="L101" s="2">
        <v>7</v>
      </c>
      <c r="M101" s="2">
        <v>150.27000000000001</v>
      </c>
      <c r="N101" s="2">
        <v>0.2</v>
      </c>
      <c r="O101" s="2">
        <v>1051.8900000000001</v>
      </c>
      <c r="P101" s="5">
        <v>338.15</v>
      </c>
    </row>
    <row r="102" spans="1:16" x14ac:dyDescent="0.35">
      <c r="A102" s="4" t="s">
        <v>286</v>
      </c>
      <c r="B102" s="3">
        <v>45562</v>
      </c>
      <c r="C102" s="3">
        <v>45569</v>
      </c>
      <c r="D102" s="2" t="s">
        <v>17</v>
      </c>
      <c r="E102" s="2" t="s">
        <v>287</v>
      </c>
      <c r="F102" s="2" t="s">
        <v>19</v>
      </c>
      <c r="G102" s="2" t="s">
        <v>288</v>
      </c>
      <c r="H102" s="2" t="s">
        <v>129</v>
      </c>
      <c r="I102" s="2" t="s">
        <v>22</v>
      </c>
      <c r="J102" s="2" t="s">
        <v>23</v>
      </c>
      <c r="K102" s="2" t="s">
        <v>289</v>
      </c>
      <c r="L102" s="2">
        <v>8</v>
      </c>
      <c r="M102" s="2">
        <v>163.80000000000001</v>
      </c>
      <c r="N102" s="2">
        <v>0.2</v>
      </c>
      <c r="O102" s="2">
        <v>1310.4000000000001</v>
      </c>
      <c r="P102" s="5">
        <v>-147.77000000000001</v>
      </c>
    </row>
    <row r="103" spans="1:16" x14ac:dyDescent="0.35">
      <c r="A103" s="4" t="s">
        <v>290</v>
      </c>
      <c r="B103" s="3">
        <v>45606</v>
      </c>
      <c r="C103" s="3">
        <v>45608</v>
      </c>
      <c r="D103" s="2" t="s">
        <v>65</v>
      </c>
      <c r="E103" s="2" t="s">
        <v>291</v>
      </c>
      <c r="F103" s="2" t="s">
        <v>27</v>
      </c>
      <c r="G103" s="2" t="s">
        <v>111</v>
      </c>
      <c r="H103" s="2" t="s">
        <v>112</v>
      </c>
      <c r="I103" s="2" t="s">
        <v>30</v>
      </c>
      <c r="J103" s="2" t="s">
        <v>31</v>
      </c>
      <c r="K103" s="2" t="s">
        <v>57</v>
      </c>
      <c r="L103" s="2">
        <v>3</v>
      </c>
      <c r="M103" s="2">
        <v>691.59</v>
      </c>
      <c r="N103" s="2">
        <v>0.15</v>
      </c>
      <c r="O103" s="2">
        <v>2074.77</v>
      </c>
      <c r="P103" s="5"/>
    </row>
    <row r="104" spans="1:16" x14ac:dyDescent="0.35">
      <c r="A104" s="4" t="s">
        <v>292</v>
      </c>
      <c r="B104" s="3">
        <v>45178</v>
      </c>
      <c r="C104" s="3">
        <v>45179</v>
      </c>
      <c r="D104" s="2" t="s">
        <v>65</v>
      </c>
      <c r="E104" s="2" t="s">
        <v>293</v>
      </c>
      <c r="F104" s="2" t="s">
        <v>35</v>
      </c>
      <c r="G104" s="2" t="s">
        <v>86</v>
      </c>
      <c r="H104" s="2" t="s">
        <v>29</v>
      </c>
      <c r="I104" s="2" t="s">
        <v>30</v>
      </c>
      <c r="J104" s="2" t="s">
        <v>47</v>
      </c>
      <c r="K104" s="2" t="s">
        <v>94</v>
      </c>
      <c r="L104" s="2">
        <v>-12</v>
      </c>
      <c r="M104" s="2">
        <v>14.76</v>
      </c>
      <c r="N104" s="2">
        <v>0</v>
      </c>
      <c r="O104" s="2">
        <v>177.12</v>
      </c>
      <c r="P104" s="5">
        <v>-7.64</v>
      </c>
    </row>
    <row r="105" spans="1:16" x14ac:dyDescent="0.35">
      <c r="A105" s="4" t="s">
        <v>294</v>
      </c>
      <c r="B105" s="3">
        <v>45334</v>
      </c>
      <c r="C105" s="3">
        <v>45338</v>
      </c>
      <c r="D105" s="2" t="s">
        <v>44</v>
      </c>
      <c r="E105" s="2" t="s">
        <v>295</v>
      </c>
      <c r="F105" s="2" t="s">
        <v>27</v>
      </c>
      <c r="G105" s="2" t="s">
        <v>103</v>
      </c>
      <c r="H105" s="2" t="s">
        <v>73</v>
      </c>
      <c r="I105" s="2" t="s">
        <v>52</v>
      </c>
      <c r="J105" s="2" t="s">
        <v>78</v>
      </c>
      <c r="K105" s="2" t="s">
        <v>96</v>
      </c>
      <c r="L105" s="2">
        <v>3</v>
      </c>
      <c r="M105" s="2">
        <v>72.28</v>
      </c>
      <c r="N105" s="2">
        <v>0.3</v>
      </c>
      <c r="O105" s="2">
        <v>216.84</v>
      </c>
      <c r="P105" s="5">
        <v>-15.02</v>
      </c>
    </row>
    <row r="106" spans="1:16" x14ac:dyDescent="0.35">
      <c r="A106" s="4" t="s">
        <v>296</v>
      </c>
      <c r="B106" s="3">
        <v>45592</v>
      </c>
      <c r="C106" s="3">
        <v>45593</v>
      </c>
      <c r="D106" s="2" t="s">
        <v>17</v>
      </c>
      <c r="E106" s="2" t="s">
        <v>297</v>
      </c>
      <c r="F106" s="2" t="s">
        <v>27</v>
      </c>
      <c r="G106" s="2" t="s">
        <v>61</v>
      </c>
      <c r="H106" s="2" t="s">
        <v>62</v>
      </c>
      <c r="I106" s="2" t="s">
        <v>30</v>
      </c>
      <c r="J106" s="2" t="s">
        <v>41</v>
      </c>
      <c r="K106" s="2" t="s">
        <v>124</v>
      </c>
      <c r="L106" s="2">
        <v>10</v>
      </c>
      <c r="M106" s="2">
        <v>333.73</v>
      </c>
      <c r="N106" s="2">
        <v>0.3</v>
      </c>
      <c r="O106" s="2">
        <v>3337.3</v>
      </c>
      <c r="P106" s="5">
        <v>287.8</v>
      </c>
    </row>
    <row r="107" spans="1:16" x14ac:dyDescent="0.35">
      <c r="A107" s="4" t="s">
        <v>298</v>
      </c>
      <c r="B107" s="3">
        <v>45222</v>
      </c>
      <c r="C107" s="3">
        <v>45224</v>
      </c>
      <c r="D107" s="2" t="s">
        <v>44</v>
      </c>
      <c r="E107" s="2" t="s">
        <v>299</v>
      </c>
      <c r="F107" s="2" t="s">
        <v>19</v>
      </c>
      <c r="G107" s="2" t="s">
        <v>20</v>
      </c>
      <c r="H107" s="2" t="s">
        <v>21</v>
      </c>
      <c r="I107" s="2" t="s">
        <v>30</v>
      </c>
      <c r="J107" s="2" t="s">
        <v>31</v>
      </c>
      <c r="K107" s="2" t="s">
        <v>87</v>
      </c>
      <c r="L107" s="2">
        <v>2</v>
      </c>
      <c r="M107" s="2">
        <v>104.22</v>
      </c>
      <c r="N107" s="2">
        <v>0.1</v>
      </c>
      <c r="O107" s="2">
        <v>208.44</v>
      </c>
      <c r="P107" s="5">
        <v>30.93</v>
      </c>
    </row>
    <row r="108" spans="1:16" x14ac:dyDescent="0.35">
      <c r="A108" s="4" t="s">
        <v>300</v>
      </c>
      <c r="B108" s="3">
        <v>45597</v>
      </c>
      <c r="C108" s="3">
        <v>45599</v>
      </c>
      <c r="D108" s="2" t="s">
        <v>65</v>
      </c>
      <c r="E108" s="2" t="s">
        <v>301</v>
      </c>
      <c r="F108" s="2" t="s">
        <v>35</v>
      </c>
      <c r="G108" s="2" t="s">
        <v>20</v>
      </c>
      <c r="H108" s="2" t="s">
        <v>36</v>
      </c>
      <c r="I108" s="2" t="s">
        <v>52</v>
      </c>
      <c r="J108" s="2" t="s">
        <v>160</v>
      </c>
      <c r="K108" s="2" t="s">
        <v>161</v>
      </c>
      <c r="L108" s="2">
        <v>5</v>
      </c>
      <c r="M108" s="2">
        <v>844.84</v>
      </c>
      <c r="N108" s="2">
        <v>0</v>
      </c>
      <c r="O108" s="2">
        <v>4224.2</v>
      </c>
      <c r="P108" s="5">
        <v>411.71</v>
      </c>
    </row>
    <row r="109" spans="1:16" x14ac:dyDescent="0.35">
      <c r="A109" s="4" t="s">
        <v>302</v>
      </c>
      <c r="B109" s="3">
        <v>45020</v>
      </c>
      <c r="C109" s="3">
        <v>45023</v>
      </c>
      <c r="D109" s="2" t="s">
        <v>59</v>
      </c>
      <c r="E109" s="2" t="s">
        <v>303</v>
      </c>
      <c r="F109" s="2" t="s">
        <v>19</v>
      </c>
      <c r="G109" s="2" t="s">
        <v>128</v>
      </c>
      <c r="H109" s="2" t="s">
        <v>129</v>
      </c>
      <c r="I109" s="2" t="s">
        <v>52</v>
      </c>
      <c r="J109" s="2" t="s">
        <v>53</v>
      </c>
      <c r="K109" s="2" t="s">
        <v>54</v>
      </c>
      <c r="L109" s="2">
        <v>3</v>
      </c>
      <c r="M109" s="2">
        <v>810.47</v>
      </c>
      <c r="N109" s="2">
        <v>0.2</v>
      </c>
      <c r="O109" s="2">
        <v>2431.41</v>
      </c>
      <c r="P109" s="5">
        <v>160.57</v>
      </c>
    </row>
    <row r="110" spans="1:16" x14ac:dyDescent="0.35">
      <c r="A110" s="4" t="s">
        <v>304</v>
      </c>
      <c r="B110" s="3">
        <v>45598</v>
      </c>
      <c r="C110" s="3">
        <v>45600</v>
      </c>
      <c r="D110" s="2"/>
      <c r="E110" s="2" t="s">
        <v>305</v>
      </c>
      <c r="F110" s="2" t="s">
        <v>19</v>
      </c>
      <c r="G110" s="2" t="s">
        <v>67</v>
      </c>
      <c r="H110" s="2" t="s">
        <v>36</v>
      </c>
      <c r="I110" s="2" t="s">
        <v>52</v>
      </c>
      <c r="J110" s="2" t="s">
        <v>194</v>
      </c>
      <c r="K110" s="2" t="s">
        <v>306</v>
      </c>
      <c r="L110" s="2">
        <v>2</v>
      </c>
      <c r="M110" s="2">
        <v>824.96</v>
      </c>
      <c r="N110" s="2">
        <v>0.2</v>
      </c>
      <c r="O110" s="2">
        <v>1649.92</v>
      </c>
      <c r="P110" s="5">
        <v>151.58000000000001</v>
      </c>
    </row>
    <row r="111" spans="1:16" x14ac:dyDescent="0.35">
      <c r="A111" s="4" t="s">
        <v>307</v>
      </c>
      <c r="B111" s="3">
        <v>45524</v>
      </c>
      <c r="C111" s="3">
        <v>45531</v>
      </c>
      <c r="D111" s="2" t="s">
        <v>44</v>
      </c>
      <c r="E111" s="2" t="s">
        <v>204</v>
      </c>
      <c r="F111" s="2" t="s">
        <v>35</v>
      </c>
      <c r="G111" s="2" t="s">
        <v>67</v>
      </c>
      <c r="H111" s="2" t="s">
        <v>36</v>
      </c>
      <c r="I111" s="2" t="s">
        <v>30</v>
      </c>
      <c r="J111" s="2" t="s">
        <v>47</v>
      </c>
      <c r="K111" s="2" t="s">
        <v>94</v>
      </c>
      <c r="L111" s="2">
        <v>10</v>
      </c>
      <c r="M111" s="2">
        <v>101.73</v>
      </c>
      <c r="N111" s="2">
        <v>0.1</v>
      </c>
      <c r="O111" s="2">
        <v>1017.3</v>
      </c>
      <c r="P111" s="5">
        <v>44.19</v>
      </c>
    </row>
    <row r="112" spans="1:16" x14ac:dyDescent="0.35">
      <c r="A112" s="4" t="s">
        <v>308</v>
      </c>
      <c r="B112" s="3">
        <v>45274</v>
      </c>
      <c r="C112" s="3">
        <v>45276</v>
      </c>
      <c r="D112" s="2"/>
      <c r="E112" s="2" t="s">
        <v>274</v>
      </c>
      <c r="F112" s="2" t="s">
        <v>19</v>
      </c>
      <c r="G112" s="2" t="s">
        <v>72</v>
      </c>
      <c r="H112" s="2" t="s">
        <v>62</v>
      </c>
      <c r="I112" s="2" t="s">
        <v>52</v>
      </c>
      <c r="J112" s="2" t="s">
        <v>68</v>
      </c>
      <c r="K112" s="2" t="s">
        <v>108</v>
      </c>
      <c r="L112" s="2">
        <v>12</v>
      </c>
      <c r="M112" s="2">
        <v>343.01</v>
      </c>
      <c r="N112" s="2">
        <v>0.2</v>
      </c>
      <c r="O112" s="2">
        <v>4116.12</v>
      </c>
      <c r="P112" s="5">
        <v>-107.77</v>
      </c>
    </row>
    <row r="113" spans="1:16" x14ac:dyDescent="0.35">
      <c r="A113" s="4" t="s">
        <v>309</v>
      </c>
      <c r="B113" s="3">
        <v>45158</v>
      </c>
      <c r="C113" s="3">
        <v>45164</v>
      </c>
      <c r="D113" s="2" t="s">
        <v>44</v>
      </c>
      <c r="E113" s="2" t="s">
        <v>310</v>
      </c>
      <c r="F113" s="2" t="s">
        <v>19</v>
      </c>
      <c r="G113" s="2" t="s">
        <v>111</v>
      </c>
      <c r="H113" s="2" t="s">
        <v>112</v>
      </c>
      <c r="I113" s="2" t="s">
        <v>30</v>
      </c>
      <c r="J113" s="2" t="s">
        <v>99</v>
      </c>
      <c r="K113" s="2" t="s">
        <v>208</v>
      </c>
      <c r="L113" s="2">
        <v>-11</v>
      </c>
      <c r="M113" s="2">
        <v>564.64</v>
      </c>
      <c r="N113" s="2">
        <v>0</v>
      </c>
      <c r="O113" s="2">
        <v>6211.04</v>
      </c>
      <c r="P113" s="5">
        <v>558.89</v>
      </c>
    </row>
    <row r="114" spans="1:16" x14ac:dyDescent="0.35">
      <c r="A114" s="4" t="s">
        <v>311</v>
      </c>
      <c r="B114" s="3">
        <v>45418</v>
      </c>
      <c r="C114" s="3">
        <v>45424</v>
      </c>
      <c r="D114" s="2" t="s">
        <v>65</v>
      </c>
      <c r="E114" s="2" t="s">
        <v>312</v>
      </c>
      <c r="F114" s="2" t="s">
        <v>27</v>
      </c>
      <c r="G114" s="2" t="s">
        <v>61</v>
      </c>
      <c r="H114" s="2" t="s">
        <v>73</v>
      </c>
      <c r="I114" s="2" t="s">
        <v>22</v>
      </c>
      <c r="J114" s="2" t="s">
        <v>37</v>
      </c>
      <c r="K114" s="2" t="s">
        <v>144</v>
      </c>
      <c r="L114" s="2">
        <v>10</v>
      </c>
      <c r="M114" s="2">
        <v>529.57000000000005</v>
      </c>
      <c r="N114" s="2">
        <v>0</v>
      </c>
      <c r="O114" s="2">
        <v>5295.7</v>
      </c>
      <c r="P114" s="5">
        <v>-525.76</v>
      </c>
    </row>
    <row r="115" spans="1:16" x14ac:dyDescent="0.35">
      <c r="A115" s="4" t="s">
        <v>313</v>
      </c>
      <c r="B115" s="3">
        <v>45077</v>
      </c>
      <c r="C115" s="3">
        <v>45084</v>
      </c>
      <c r="D115" s="2" t="s">
        <v>17</v>
      </c>
      <c r="E115" s="2" t="s">
        <v>314</v>
      </c>
      <c r="F115" s="2" t="s">
        <v>35</v>
      </c>
      <c r="G115" s="2" t="s">
        <v>82</v>
      </c>
      <c r="H115" s="2" t="s">
        <v>123</v>
      </c>
      <c r="I115" s="2" t="s">
        <v>52</v>
      </c>
      <c r="J115" s="2" t="s">
        <v>53</v>
      </c>
      <c r="K115" s="2" t="s">
        <v>54</v>
      </c>
      <c r="L115" s="2">
        <v>3</v>
      </c>
      <c r="M115" s="2">
        <v>205.4</v>
      </c>
      <c r="N115" s="2">
        <v>0</v>
      </c>
      <c r="O115" s="2">
        <v>616.20000000000005</v>
      </c>
      <c r="P115" s="5">
        <v>8.59</v>
      </c>
    </row>
    <row r="116" spans="1:16" x14ac:dyDescent="0.35">
      <c r="A116" s="4" t="s">
        <v>315</v>
      </c>
      <c r="B116" s="3">
        <v>45463</v>
      </c>
      <c r="C116" s="3">
        <v>45466</v>
      </c>
      <c r="D116" s="2" t="s">
        <v>65</v>
      </c>
      <c r="E116" s="2" t="s">
        <v>316</v>
      </c>
      <c r="F116" s="2" t="s">
        <v>35</v>
      </c>
      <c r="G116" s="2" t="s">
        <v>20</v>
      </c>
      <c r="H116" s="2" t="s">
        <v>21</v>
      </c>
      <c r="I116" s="2" t="s">
        <v>22</v>
      </c>
      <c r="J116" s="2" t="s">
        <v>23</v>
      </c>
      <c r="K116" s="2" t="s">
        <v>178</v>
      </c>
      <c r="L116" s="2">
        <v>7</v>
      </c>
      <c r="M116" s="2">
        <v>643.74</v>
      </c>
      <c r="N116" s="2">
        <v>0.15</v>
      </c>
      <c r="O116" s="2">
        <v>4506.18</v>
      </c>
      <c r="P116" s="5">
        <v>-414.94</v>
      </c>
    </row>
    <row r="117" spans="1:16" x14ac:dyDescent="0.35">
      <c r="A117" s="4" t="s">
        <v>317</v>
      </c>
      <c r="B117" s="3">
        <v>45109</v>
      </c>
      <c r="C117" s="3">
        <v>45114</v>
      </c>
      <c r="D117" s="2" t="s">
        <v>65</v>
      </c>
      <c r="E117" s="2" t="s">
        <v>207</v>
      </c>
      <c r="F117" s="2" t="s">
        <v>27</v>
      </c>
      <c r="G117" s="2" t="s">
        <v>82</v>
      </c>
      <c r="H117" s="2" t="s">
        <v>83</v>
      </c>
      <c r="I117" s="2" t="s">
        <v>22</v>
      </c>
      <c r="J117" s="2" t="s">
        <v>23</v>
      </c>
      <c r="K117" s="2" t="s">
        <v>178</v>
      </c>
      <c r="L117" s="2">
        <v>9</v>
      </c>
      <c r="M117" s="2">
        <v>858.38</v>
      </c>
      <c r="N117" s="2">
        <v>0.15</v>
      </c>
      <c r="O117" s="2">
        <v>7725.42</v>
      </c>
      <c r="P117" s="5">
        <v>2389.06</v>
      </c>
    </row>
    <row r="118" spans="1:16" x14ac:dyDescent="0.35">
      <c r="A118" s="4" t="s">
        <v>318</v>
      </c>
      <c r="B118" s="3">
        <v>45297</v>
      </c>
      <c r="C118" s="3">
        <v>45302</v>
      </c>
      <c r="D118" s="2" t="s">
        <v>44</v>
      </c>
      <c r="E118" s="2" t="s">
        <v>319</v>
      </c>
      <c r="F118" s="2" t="s">
        <v>19</v>
      </c>
      <c r="G118" s="2" t="s">
        <v>107</v>
      </c>
      <c r="H118" s="2" t="s">
        <v>123</v>
      </c>
      <c r="I118" s="2" t="s">
        <v>52</v>
      </c>
      <c r="J118" s="2" t="s">
        <v>78</v>
      </c>
      <c r="K118" s="2" t="s">
        <v>96</v>
      </c>
      <c r="L118" s="2">
        <v>1</v>
      </c>
      <c r="M118" s="2">
        <v>355.71</v>
      </c>
      <c r="N118" s="2">
        <v>0</v>
      </c>
      <c r="O118" s="2">
        <v>355.71</v>
      </c>
      <c r="P118" s="5">
        <v>-38.81</v>
      </c>
    </row>
    <row r="119" spans="1:16" x14ac:dyDescent="0.35">
      <c r="A119" s="4" t="s">
        <v>320</v>
      </c>
      <c r="B119" s="3">
        <v>44960</v>
      </c>
      <c r="C119" s="3">
        <v>44962</v>
      </c>
      <c r="D119" s="2" t="s">
        <v>59</v>
      </c>
      <c r="E119" s="2" t="s">
        <v>312</v>
      </c>
      <c r="F119" s="2" t="s">
        <v>35</v>
      </c>
      <c r="G119" s="2" t="s">
        <v>67</v>
      </c>
      <c r="H119" s="2" t="s">
        <v>36</v>
      </c>
      <c r="I119" s="2" t="s">
        <v>22</v>
      </c>
      <c r="J119" s="2" t="s">
        <v>37</v>
      </c>
      <c r="K119" s="2" t="s">
        <v>38</v>
      </c>
      <c r="L119" s="2">
        <v>11</v>
      </c>
      <c r="M119" s="2">
        <v>532.86</v>
      </c>
      <c r="N119" s="2">
        <v>0.3</v>
      </c>
      <c r="O119" s="2">
        <v>5861.46</v>
      </c>
      <c r="P119" s="5">
        <v>1857.11</v>
      </c>
    </row>
    <row r="120" spans="1:16" x14ac:dyDescent="0.35">
      <c r="A120" s="4" t="s">
        <v>321</v>
      </c>
      <c r="B120" s="3">
        <v>45142</v>
      </c>
      <c r="C120" s="3">
        <v>45147</v>
      </c>
      <c r="D120" s="2" t="s">
        <v>59</v>
      </c>
      <c r="E120" s="2" t="s">
        <v>322</v>
      </c>
      <c r="F120" s="2" t="s">
        <v>19</v>
      </c>
      <c r="G120" s="2" t="s">
        <v>86</v>
      </c>
      <c r="H120" s="2" t="s">
        <v>159</v>
      </c>
      <c r="I120" s="2" t="s">
        <v>30</v>
      </c>
      <c r="J120" s="2" t="s">
        <v>31</v>
      </c>
      <c r="K120" s="2" t="s">
        <v>32</v>
      </c>
      <c r="L120" s="2">
        <v>11</v>
      </c>
      <c r="M120" s="2">
        <v>145.63</v>
      </c>
      <c r="N120" s="2">
        <v>0.15</v>
      </c>
      <c r="O120" s="2">
        <v>1601.93</v>
      </c>
      <c r="P120" s="5">
        <v>545.58000000000004</v>
      </c>
    </row>
    <row r="121" spans="1:16" x14ac:dyDescent="0.35">
      <c r="A121" s="4" t="s">
        <v>323</v>
      </c>
      <c r="B121" s="3">
        <v>45235</v>
      </c>
      <c r="C121" s="3">
        <v>45242</v>
      </c>
      <c r="D121" s="2" t="s">
        <v>59</v>
      </c>
      <c r="E121" s="2" t="s">
        <v>324</v>
      </c>
      <c r="F121" s="2" t="s">
        <v>19</v>
      </c>
      <c r="G121" s="2" t="s">
        <v>288</v>
      </c>
      <c r="H121" s="2" t="s">
        <v>129</v>
      </c>
      <c r="I121" s="2" t="s">
        <v>52</v>
      </c>
      <c r="J121" s="2" t="s">
        <v>160</v>
      </c>
      <c r="K121" s="2" t="s">
        <v>234</v>
      </c>
      <c r="L121" s="2">
        <v>12</v>
      </c>
      <c r="M121" s="2">
        <v>633.83000000000004</v>
      </c>
      <c r="N121" s="2">
        <v>0.1</v>
      </c>
      <c r="O121" s="2">
        <v>7605.96</v>
      </c>
      <c r="P121" s="5">
        <v>652.16999999999996</v>
      </c>
    </row>
    <row r="122" spans="1:16" x14ac:dyDescent="0.35">
      <c r="A122" s="4" t="s">
        <v>325</v>
      </c>
      <c r="B122" s="3">
        <v>45480</v>
      </c>
      <c r="C122" s="3">
        <v>45486</v>
      </c>
      <c r="D122" s="2" t="s">
        <v>59</v>
      </c>
      <c r="E122" s="2" t="s">
        <v>326</v>
      </c>
      <c r="F122" s="2" t="s">
        <v>19</v>
      </c>
      <c r="G122" s="2" t="s">
        <v>51</v>
      </c>
      <c r="H122" s="2"/>
      <c r="I122" s="2" t="s">
        <v>30</v>
      </c>
      <c r="J122" s="2" t="s">
        <v>41</v>
      </c>
      <c r="K122" s="2" t="s">
        <v>124</v>
      </c>
      <c r="L122" s="2">
        <v>12</v>
      </c>
      <c r="M122" s="2">
        <v>43.32</v>
      </c>
      <c r="N122" s="2">
        <v>0</v>
      </c>
      <c r="O122" s="2">
        <v>519.84</v>
      </c>
      <c r="P122" s="5">
        <v>-22.96</v>
      </c>
    </row>
    <row r="123" spans="1:16" x14ac:dyDescent="0.35">
      <c r="A123" s="4" t="s">
        <v>327</v>
      </c>
      <c r="B123" s="3">
        <v>45069</v>
      </c>
      <c r="C123" s="3">
        <v>45073</v>
      </c>
      <c r="D123" s="2" t="s">
        <v>17</v>
      </c>
      <c r="E123" s="2" t="s">
        <v>163</v>
      </c>
      <c r="F123" s="2" t="s">
        <v>27</v>
      </c>
      <c r="G123" s="2" t="s">
        <v>211</v>
      </c>
      <c r="H123" s="2" t="s">
        <v>159</v>
      </c>
      <c r="I123" s="2" t="s">
        <v>22</v>
      </c>
      <c r="J123" s="2" t="s">
        <v>115</v>
      </c>
      <c r="K123" s="2" t="s">
        <v>147</v>
      </c>
      <c r="L123" s="2">
        <v>3</v>
      </c>
      <c r="M123" s="2">
        <v>329.19</v>
      </c>
      <c r="N123" s="2">
        <v>0.2</v>
      </c>
      <c r="O123" s="2">
        <v>987.57</v>
      </c>
      <c r="P123" s="5">
        <v>255.26</v>
      </c>
    </row>
    <row r="124" spans="1:16" x14ac:dyDescent="0.35">
      <c r="A124" s="4" t="s">
        <v>328</v>
      </c>
      <c r="B124" s="3">
        <v>45370</v>
      </c>
      <c r="C124" s="3">
        <v>45371</v>
      </c>
      <c r="D124" s="2" t="s">
        <v>17</v>
      </c>
      <c r="E124" s="2" t="s">
        <v>186</v>
      </c>
      <c r="F124" s="2" t="s">
        <v>19</v>
      </c>
      <c r="G124" s="2" t="s">
        <v>107</v>
      </c>
      <c r="H124" s="2" t="s">
        <v>123</v>
      </c>
      <c r="I124" s="2" t="s">
        <v>30</v>
      </c>
      <c r="J124" s="2" t="s">
        <v>41</v>
      </c>
      <c r="K124" s="2" t="s">
        <v>42</v>
      </c>
      <c r="L124" s="2">
        <v>5</v>
      </c>
      <c r="M124" s="2">
        <v>218.7</v>
      </c>
      <c r="N124" s="2">
        <v>0.15</v>
      </c>
      <c r="O124" s="2">
        <v>1093.5</v>
      </c>
      <c r="P124" s="5">
        <v>-108.79</v>
      </c>
    </row>
    <row r="125" spans="1:16" x14ac:dyDescent="0.35">
      <c r="A125" s="4" t="s">
        <v>329</v>
      </c>
      <c r="B125" s="3">
        <v>45592</v>
      </c>
      <c r="C125" s="3">
        <v>45593</v>
      </c>
      <c r="D125" s="2" t="s">
        <v>59</v>
      </c>
      <c r="E125" s="2" t="s">
        <v>149</v>
      </c>
      <c r="F125" s="2" t="s">
        <v>19</v>
      </c>
      <c r="G125" s="2" t="s">
        <v>181</v>
      </c>
      <c r="H125" s="2" t="s">
        <v>123</v>
      </c>
      <c r="I125" s="2" t="s">
        <v>30</v>
      </c>
      <c r="J125" s="2" t="s">
        <v>41</v>
      </c>
      <c r="K125" s="2" t="s">
        <v>191</v>
      </c>
      <c r="L125" s="2">
        <v>8</v>
      </c>
      <c r="M125" s="2">
        <v>604.16999999999996</v>
      </c>
      <c r="N125" s="2">
        <v>0.15</v>
      </c>
      <c r="O125" s="2">
        <v>4833.3599999999997</v>
      </c>
      <c r="P125" s="5">
        <v>1565.42</v>
      </c>
    </row>
    <row r="126" spans="1:16" x14ac:dyDescent="0.35">
      <c r="A126" s="4" t="s">
        <v>330</v>
      </c>
      <c r="B126" s="3">
        <v>45091</v>
      </c>
      <c r="C126" s="3">
        <v>45094</v>
      </c>
      <c r="D126" s="2" t="s">
        <v>65</v>
      </c>
      <c r="E126" s="2" t="s">
        <v>331</v>
      </c>
      <c r="F126" s="2" t="s">
        <v>35</v>
      </c>
      <c r="G126" s="2" t="s">
        <v>332</v>
      </c>
      <c r="H126" s="2" t="s">
        <v>46</v>
      </c>
      <c r="I126" s="2" t="s">
        <v>30</v>
      </c>
      <c r="J126" s="2" t="s">
        <v>41</v>
      </c>
      <c r="K126" s="2" t="s">
        <v>105</v>
      </c>
      <c r="L126" s="2">
        <v>4</v>
      </c>
      <c r="M126" s="2">
        <v>888.8</v>
      </c>
      <c r="N126" s="2">
        <v>0</v>
      </c>
      <c r="O126" s="2">
        <v>3555.2</v>
      </c>
      <c r="P126" s="5">
        <v>960.14</v>
      </c>
    </row>
    <row r="127" spans="1:16" x14ac:dyDescent="0.35">
      <c r="A127" s="4" t="s">
        <v>333</v>
      </c>
      <c r="B127" s="3">
        <v>45542</v>
      </c>
      <c r="C127" s="3">
        <v>45545</v>
      </c>
      <c r="D127" s="2" t="s">
        <v>59</v>
      </c>
      <c r="E127" s="2" t="s">
        <v>334</v>
      </c>
      <c r="F127" s="2" t="s">
        <v>35</v>
      </c>
      <c r="G127" s="2" t="s">
        <v>61</v>
      </c>
      <c r="H127" s="2" t="s">
        <v>73</v>
      </c>
      <c r="I127" s="2" t="s">
        <v>22</v>
      </c>
      <c r="J127" s="2" t="s">
        <v>74</v>
      </c>
      <c r="K127" s="2" t="s">
        <v>75</v>
      </c>
      <c r="L127" s="2">
        <v>1</v>
      </c>
      <c r="M127" s="2">
        <v>820.92</v>
      </c>
      <c r="N127" s="2">
        <v>0</v>
      </c>
      <c r="O127" s="2">
        <v>820.92</v>
      </c>
      <c r="P127" s="5">
        <v>-69.34</v>
      </c>
    </row>
    <row r="128" spans="1:16" x14ac:dyDescent="0.35">
      <c r="A128" s="4" t="s">
        <v>335</v>
      </c>
      <c r="B128" s="3">
        <v>44948</v>
      </c>
      <c r="C128" s="3">
        <v>44953</v>
      </c>
      <c r="D128" s="2" t="s">
        <v>17</v>
      </c>
      <c r="E128" s="2" t="s">
        <v>135</v>
      </c>
      <c r="F128" s="2" t="s">
        <v>27</v>
      </c>
      <c r="G128" s="2" t="s">
        <v>82</v>
      </c>
      <c r="H128" s="2" t="s">
        <v>123</v>
      </c>
      <c r="I128" s="2" t="s">
        <v>22</v>
      </c>
      <c r="J128" s="2" t="s">
        <v>37</v>
      </c>
      <c r="K128" s="2" t="s">
        <v>38</v>
      </c>
      <c r="L128" s="2">
        <v>1</v>
      </c>
      <c r="M128" s="2">
        <v>128.11000000000001</v>
      </c>
      <c r="N128" s="2">
        <v>0.1</v>
      </c>
      <c r="O128" s="2">
        <v>128.11000000000001</v>
      </c>
      <c r="P128" s="5">
        <v>-0.22</v>
      </c>
    </row>
    <row r="129" spans="1:16" x14ac:dyDescent="0.35">
      <c r="A129" s="4" t="s">
        <v>336</v>
      </c>
      <c r="B129" s="3">
        <v>45282</v>
      </c>
      <c r="C129" s="3">
        <v>45286</v>
      </c>
      <c r="D129" s="2" t="s">
        <v>65</v>
      </c>
      <c r="E129" s="2" t="s">
        <v>337</v>
      </c>
      <c r="F129" s="2" t="s">
        <v>27</v>
      </c>
      <c r="G129" s="2" t="s">
        <v>111</v>
      </c>
      <c r="H129" s="2" t="s">
        <v>129</v>
      </c>
      <c r="I129" s="2" t="s">
        <v>30</v>
      </c>
      <c r="J129" s="2" t="s">
        <v>41</v>
      </c>
      <c r="K129" s="2" t="s">
        <v>42</v>
      </c>
      <c r="L129" s="2">
        <v>11</v>
      </c>
      <c r="M129" s="2">
        <v>305.61</v>
      </c>
      <c r="N129" s="2">
        <v>0.15</v>
      </c>
      <c r="O129" s="2">
        <v>3361.71</v>
      </c>
      <c r="P129" s="5">
        <v>71.930000000000007</v>
      </c>
    </row>
    <row r="130" spans="1:16" x14ac:dyDescent="0.35">
      <c r="A130" s="4" t="s">
        <v>338</v>
      </c>
      <c r="B130" s="3">
        <v>45445</v>
      </c>
      <c r="C130" s="3">
        <v>45448</v>
      </c>
      <c r="D130" s="2" t="s">
        <v>17</v>
      </c>
      <c r="E130" s="2" t="s">
        <v>255</v>
      </c>
      <c r="F130" s="2" t="s">
        <v>35</v>
      </c>
      <c r="G130" s="2" t="s">
        <v>61</v>
      </c>
      <c r="H130" s="2" t="s">
        <v>62</v>
      </c>
      <c r="I130" s="2" t="s">
        <v>22</v>
      </c>
      <c r="J130" s="2" t="s">
        <v>37</v>
      </c>
      <c r="K130" s="2" t="s">
        <v>38</v>
      </c>
      <c r="L130" s="2">
        <v>10</v>
      </c>
      <c r="M130" s="2">
        <v>141.65</v>
      </c>
      <c r="N130" s="2">
        <v>0</v>
      </c>
      <c r="O130" s="2">
        <v>1416.5</v>
      </c>
      <c r="P130" s="5">
        <v>7.02</v>
      </c>
    </row>
    <row r="131" spans="1:16" x14ac:dyDescent="0.35">
      <c r="A131" s="4" t="s">
        <v>339</v>
      </c>
      <c r="B131" s="3">
        <v>45575</v>
      </c>
      <c r="C131" s="3">
        <v>45580</v>
      </c>
      <c r="D131" s="2" t="s">
        <v>17</v>
      </c>
      <c r="E131" s="2" t="s">
        <v>340</v>
      </c>
      <c r="F131" s="2" t="s">
        <v>27</v>
      </c>
      <c r="G131" s="2" t="s">
        <v>90</v>
      </c>
      <c r="H131" s="2" t="s">
        <v>62</v>
      </c>
      <c r="I131" s="2" t="s">
        <v>22</v>
      </c>
      <c r="J131" s="2" t="s">
        <v>115</v>
      </c>
      <c r="K131" s="2" t="s">
        <v>133</v>
      </c>
      <c r="L131" s="2">
        <v>7</v>
      </c>
      <c r="M131" s="2">
        <v>93.76</v>
      </c>
      <c r="N131" s="2">
        <v>0.2</v>
      </c>
      <c r="O131" s="2">
        <v>656.32</v>
      </c>
      <c r="P131" s="5">
        <v>-60.9</v>
      </c>
    </row>
    <row r="132" spans="1:16" x14ac:dyDescent="0.35">
      <c r="A132" s="4" t="s">
        <v>341</v>
      </c>
      <c r="B132" s="3">
        <v>44977</v>
      </c>
      <c r="C132" s="3">
        <v>44980</v>
      </c>
      <c r="D132" s="2" t="s">
        <v>17</v>
      </c>
      <c r="E132" s="2" t="s">
        <v>342</v>
      </c>
      <c r="F132" s="2" t="s">
        <v>19</v>
      </c>
      <c r="G132" s="2"/>
      <c r="H132" s="2" t="s">
        <v>73</v>
      </c>
      <c r="I132" s="2" t="s">
        <v>52</v>
      </c>
      <c r="J132" s="2" t="s">
        <v>68</v>
      </c>
      <c r="K132" s="2" t="s">
        <v>108</v>
      </c>
      <c r="L132" s="2">
        <v>9</v>
      </c>
      <c r="M132" s="2">
        <v>605.94000000000005</v>
      </c>
      <c r="N132" s="2">
        <v>0.15</v>
      </c>
      <c r="O132" s="2">
        <v>5453.46</v>
      </c>
      <c r="P132" s="5">
        <v>269.05</v>
      </c>
    </row>
    <row r="133" spans="1:16" x14ac:dyDescent="0.35">
      <c r="A133" s="4" t="s">
        <v>343</v>
      </c>
      <c r="B133" s="3">
        <v>45510</v>
      </c>
      <c r="C133" s="3">
        <v>45511</v>
      </c>
      <c r="D133" s="2" t="s">
        <v>17</v>
      </c>
      <c r="E133" s="2" t="s">
        <v>243</v>
      </c>
      <c r="F133" s="2" t="s">
        <v>35</v>
      </c>
      <c r="G133" s="2" t="s">
        <v>20</v>
      </c>
      <c r="H133" s="2" t="s">
        <v>36</v>
      </c>
      <c r="I133" s="2" t="s">
        <v>30</v>
      </c>
      <c r="J133" s="2" t="s">
        <v>99</v>
      </c>
      <c r="K133" s="2" t="s">
        <v>247</v>
      </c>
      <c r="L133" s="2">
        <v>8</v>
      </c>
      <c r="M133" s="2">
        <v>205.9</v>
      </c>
      <c r="N133" s="2">
        <v>0.2</v>
      </c>
      <c r="O133" s="2">
        <v>1647.2</v>
      </c>
      <c r="P133" s="5">
        <v>562.73</v>
      </c>
    </row>
    <row r="134" spans="1:16" x14ac:dyDescent="0.35">
      <c r="A134" s="4" t="s">
        <v>344</v>
      </c>
      <c r="B134" s="3">
        <v>45504</v>
      </c>
      <c r="C134" s="3">
        <v>45505</v>
      </c>
      <c r="D134" s="2" t="s">
        <v>65</v>
      </c>
      <c r="E134" s="2" t="s">
        <v>243</v>
      </c>
      <c r="F134" s="2" t="s">
        <v>19</v>
      </c>
      <c r="G134" s="2" t="s">
        <v>61</v>
      </c>
      <c r="H134" s="2" t="s">
        <v>62</v>
      </c>
      <c r="I134" s="2" t="s">
        <v>22</v>
      </c>
      <c r="J134" s="2" t="s">
        <v>74</v>
      </c>
      <c r="K134" s="2" t="s">
        <v>75</v>
      </c>
      <c r="L134" s="2">
        <v>12</v>
      </c>
      <c r="M134" s="2">
        <v>200.02</v>
      </c>
      <c r="N134" s="2">
        <v>0</v>
      </c>
      <c r="O134" s="2">
        <v>2400.2399999999998</v>
      </c>
      <c r="P134" s="5">
        <v>-305.68</v>
      </c>
    </row>
    <row r="135" spans="1:16" x14ac:dyDescent="0.35">
      <c r="A135" s="4" t="s">
        <v>345</v>
      </c>
      <c r="B135" s="3">
        <v>45588</v>
      </c>
      <c r="C135" s="3">
        <v>45589</v>
      </c>
      <c r="D135" s="2" t="s">
        <v>65</v>
      </c>
      <c r="E135" s="2" t="s">
        <v>135</v>
      </c>
      <c r="F135" s="2" t="s">
        <v>35</v>
      </c>
      <c r="G135" s="2" t="s">
        <v>187</v>
      </c>
      <c r="H135" s="2" t="s">
        <v>29</v>
      </c>
      <c r="I135" s="2" t="s">
        <v>30</v>
      </c>
      <c r="J135" s="2" t="s">
        <v>99</v>
      </c>
      <c r="K135" s="2" t="s">
        <v>154</v>
      </c>
      <c r="L135" s="2">
        <v>9</v>
      </c>
      <c r="M135" s="2">
        <v>800.41</v>
      </c>
      <c r="N135" s="2">
        <v>0</v>
      </c>
      <c r="O135" s="2">
        <v>7203.69</v>
      </c>
      <c r="P135" s="5">
        <v>2474.04</v>
      </c>
    </row>
    <row r="136" spans="1:16" ht="15" thickBot="1" x14ac:dyDescent="0.4">
      <c r="A136" s="6" t="s">
        <v>346</v>
      </c>
      <c r="B136" s="7">
        <v>45603</v>
      </c>
      <c r="C136" s="7">
        <v>45605</v>
      </c>
      <c r="D136" s="8" t="s">
        <v>59</v>
      </c>
      <c r="E136" s="8" t="s">
        <v>26</v>
      </c>
      <c r="F136" s="8" t="s">
        <v>19</v>
      </c>
      <c r="G136" s="8" t="s">
        <v>128</v>
      </c>
      <c r="H136" s="8" t="s">
        <v>129</v>
      </c>
      <c r="I136" s="8" t="s">
        <v>22</v>
      </c>
      <c r="J136" s="8" t="s">
        <v>37</v>
      </c>
      <c r="K136" s="8" t="s">
        <v>38</v>
      </c>
      <c r="L136" s="8">
        <v>5</v>
      </c>
      <c r="M136" s="8">
        <v>515.4</v>
      </c>
      <c r="N136" s="8">
        <v>0.2</v>
      </c>
      <c r="O136" s="8">
        <v>2577</v>
      </c>
      <c r="P136" s="9">
        <v>5.86</v>
      </c>
    </row>
    <row r="138" spans="1:16" x14ac:dyDescent="0.35">
      <c r="A138" t="s">
        <v>347</v>
      </c>
      <c r="B138" s="1">
        <v>45630</v>
      </c>
      <c r="C138" s="1">
        <v>45637</v>
      </c>
      <c r="D138" t="s">
        <v>17</v>
      </c>
      <c r="E138" t="s">
        <v>348</v>
      </c>
      <c r="F138" t="s">
        <v>27</v>
      </c>
      <c r="G138" t="s">
        <v>103</v>
      </c>
      <c r="H138" t="s">
        <v>62</v>
      </c>
      <c r="I138" t="s">
        <v>52</v>
      </c>
      <c r="J138" t="s">
        <v>160</v>
      </c>
      <c r="K138" t="s">
        <v>234</v>
      </c>
      <c r="L138">
        <v>1</v>
      </c>
      <c r="M138">
        <v>521.91999999999996</v>
      </c>
      <c r="N138">
        <v>0</v>
      </c>
      <c r="O138">
        <v>521.91999999999996</v>
      </c>
      <c r="P138">
        <v>88.43</v>
      </c>
    </row>
    <row r="139" spans="1:16" x14ac:dyDescent="0.35">
      <c r="A139" t="s">
        <v>349</v>
      </c>
      <c r="B139" s="1">
        <v>45202</v>
      </c>
      <c r="C139" s="1">
        <v>45203</v>
      </c>
      <c r="D139" t="s">
        <v>17</v>
      </c>
      <c r="E139" t="s">
        <v>303</v>
      </c>
      <c r="F139" t="s">
        <v>19</v>
      </c>
      <c r="G139" t="s">
        <v>51</v>
      </c>
      <c r="H139" t="s">
        <v>36</v>
      </c>
      <c r="I139" t="s">
        <v>30</v>
      </c>
      <c r="J139" t="s">
        <v>31</v>
      </c>
      <c r="K139" t="s">
        <v>32</v>
      </c>
      <c r="L139">
        <v>1</v>
      </c>
      <c r="M139">
        <v>245.9</v>
      </c>
      <c r="N139">
        <v>0.15</v>
      </c>
      <c r="O139">
        <v>245.9</v>
      </c>
      <c r="P139">
        <v>46.12</v>
      </c>
    </row>
    <row r="140" spans="1:16" x14ac:dyDescent="0.35">
      <c r="A140" t="s">
        <v>350</v>
      </c>
      <c r="B140" s="1">
        <v>45050</v>
      </c>
      <c r="C140" s="1">
        <v>45052</v>
      </c>
      <c r="D140" t="s">
        <v>65</v>
      </c>
      <c r="E140" t="s">
        <v>351</v>
      </c>
      <c r="F140" t="s">
        <v>19</v>
      </c>
      <c r="G140" t="s">
        <v>111</v>
      </c>
      <c r="H140" t="s">
        <v>129</v>
      </c>
      <c r="I140" t="s">
        <v>30</v>
      </c>
      <c r="J140" t="s">
        <v>99</v>
      </c>
      <c r="K140" t="s">
        <v>154</v>
      </c>
      <c r="L140">
        <v>4</v>
      </c>
      <c r="M140">
        <v>86.39</v>
      </c>
      <c r="N140">
        <v>0</v>
      </c>
      <c r="O140">
        <v>345.56</v>
      </c>
    </row>
    <row r="141" spans="1:16" x14ac:dyDescent="0.35">
      <c r="A141" t="s">
        <v>352</v>
      </c>
      <c r="B141" s="1">
        <v>45532</v>
      </c>
      <c r="C141" s="1">
        <v>45536</v>
      </c>
      <c r="D141" t="s">
        <v>44</v>
      </c>
      <c r="E141" t="s">
        <v>186</v>
      </c>
      <c r="F141" t="s">
        <v>19</v>
      </c>
      <c r="G141" t="s">
        <v>20</v>
      </c>
      <c r="H141" t="s">
        <v>36</v>
      </c>
      <c r="I141" t="s">
        <v>22</v>
      </c>
      <c r="J141" t="s">
        <v>37</v>
      </c>
      <c r="K141" t="s">
        <v>144</v>
      </c>
      <c r="L141">
        <v>2</v>
      </c>
      <c r="M141">
        <v>533.36</v>
      </c>
      <c r="N141">
        <v>0.3</v>
      </c>
      <c r="O141">
        <v>1066.72</v>
      </c>
      <c r="P141">
        <v>182.77</v>
      </c>
    </row>
    <row r="142" spans="1:16" x14ac:dyDescent="0.35">
      <c r="A142" t="s">
        <v>353</v>
      </c>
      <c r="B142" s="1">
        <v>45048</v>
      </c>
      <c r="C142" s="1">
        <v>45051</v>
      </c>
      <c r="D142" t="s">
        <v>65</v>
      </c>
      <c r="E142" t="s">
        <v>263</v>
      </c>
      <c r="F142" t="s">
        <v>35</v>
      </c>
      <c r="G142" t="s">
        <v>181</v>
      </c>
      <c r="H142" t="s">
        <v>46</v>
      </c>
      <c r="I142" t="s">
        <v>22</v>
      </c>
      <c r="J142" t="s">
        <v>74</v>
      </c>
      <c r="K142" t="s">
        <v>165</v>
      </c>
      <c r="L142">
        <v>4</v>
      </c>
      <c r="M142">
        <v>530.9</v>
      </c>
      <c r="N142">
        <v>0</v>
      </c>
      <c r="O142">
        <v>2123.6</v>
      </c>
      <c r="P142">
        <v>-122.34</v>
      </c>
    </row>
    <row r="143" spans="1:16" x14ac:dyDescent="0.35">
      <c r="A143" t="s">
        <v>354</v>
      </c>
      <c r="B143" s="1">
        <v>45552</v>
      </c>
      <c r="C143" s="1">
        <v>45559</v>
      </c>
      <c r="D143" t="s">
        <v>59</v>
      </c>
      <c r="E143" t="s">
        <v>355</v>
      </c>
      <c r="F143" t="s">
        <v>35</v>
      </c>
      <c r="G143" t="s">
        <v>132</v>
      </c>
      <c r="H143" t="s">
        <v>129</v>
      </c>
      <c r="I143" t="s">
        <v>30</v>
      </c>
      <c r="J143" t="s">
        <v>31</v>
      </c>
      <c r="K143" t="s">
        <v>87</v>
      </c>
      <c r="L143">
        <v>3</v>
      </c>
      <c r="M143">
        <v>432.32</v>
      </c>
      <c r="N143">
        <v>0</v>
      </c>
      <c r="O143">
        <v>1296.96</v>
      </c>
      <c r="P143">
        <v>-190.11</v>
      </c>
    </row>
    <row r="144" spans="1:16" x14ac:dyDescent="0.35">
      <c r="A144" t="s">
        <v>356</v>
      </c>
      <c r="B144" s="1">
        <v>45173</v>
      </c>
      <c r="C144" s="1">
        <v>45178</v>
      </c>
      <c r="D144" t="s">
        <v>17</v>
      </c>
      <c r="E144" t="s">
        <v>153</v>
      </c>
      <c r="F144" t="s">
        <v>35</v>
      </c>
      <c r="G144" t="s">
        <v>187</v>
      </c>
      <c r="H144" t="s">
        <v>29</v>
      </c>
      <c r="I144" t="s">
        <v>22</v>
      </c>
      <c r="J144" t="s">
        <v>115</v>
      </c>
      <c r="K144" t="s">
        <v>133</v>
      </c>
      <c r="L144">
        <v>4</v>
      </c>
      <c r="M144">
        <v>588.96</v>
      </c>
      <c r="N144">
        <v>0.15</v>
      </c>
      <c r="O144">
        <v>2355.84</v>
      </c>
      <c r="P144">
        <v>284.3</v>
      </c>
    </row>
    <row r="145" spans="1:16" x14ac:dyDescent="0.35">
      <c r="A145" t="s">
        <v>357</v>
      </c>
      <c r="B145" s="1">
        <v>45128</v>
      </c>
      <c r="C145" s="1">
        <v>45134</v>
      </c>
      <c r="D145" t="s">
        <v>17</v>
      </c>
      <c r="E145" t="s">
        <v>139</v>
      </c>
      <c r="F145" t="s">
        <v>35</v>
      </c>
      <c r="G145" t="s">
        <v>90</v>
      </c>
      <c r="H145" t="s">
        <v>73</v>
      </c>
      <c r="I145" t="s">
        <v>22</v>
      </c>
      <c r="J145" t="s">
        <v>115</v>
      </c>
      <c r="K145" t="s">
        <v>116</v>
      </c>
      <c r="L145">
        <v>9</v>
      </c>
      <c r="M145">
        <v>578.67999999999995</v>
      </c>
      <c r="N145">
        <v>0.15</v>
      </c>
      <c r="O145">
        <v>5208.12</v>
      </c>
      <c r="P145">
        <v>1670.78</v>
      </c>
    </row>
    <row r="146" spans="1:16" x14ac:dyDescent="0.35">
      <c r="A146" t="s">
        <v>358</v>
      </c>
      <c r="B146" s="1">
        <v>45484</v>
      </c>
      <c r="C146" s="1">
        <v>45486</v>
      </c>
      <c r="D146" t="s">
        <v>59</v>
      </c>
      <c r="E146" t="s">
        <v>227</v>
      </c>
      <c r="F146" t="s">
        <v>19</v>
      </c>
      <c r="G146" t="s">
        <v>86</v>
      </c>
      <c r="H146" t="s">
        <v>159</v>
      </c>
      <c r="I146" t="s">
        <v>30</v>
      </c>
      <c r="J146" t="s">
        <v>41</v>
      </c>
      <c r="K146" t="s">
        <v>191</v>
      </c>
      <c r="L146">
        <v>12</v>
      </c>
      <c r="M146">
        <v>742.7</v>
      </c>
      <c r="N146">
        <v>0</v>
      </c>
      <c r="O146">
        <v>8912.4</v>
      </c>
      <c r="P146">
        <v>620.1</v>
      </c>
    </row>
    <row r="147" spans="1:16" x14ac:dyDescent="0.35">
      <c r="A147" t="s">
        <v>359</v>
      </c>
      <c r="B147" s="1">
        <v>45494</v>
      </c>
      <c r="C147" s="1">
        <v>45500</v>
      </c>
      <c r="D147" t="s">
        <v>65</v>
      </c>
      <c r="E147" t="s">
        <v>360</v>
      </c>
      <c r="F147" t="s">
        <v>35</v>
      </c>
      <c r="G147" t="s">
        <v>90</v>
      </c>
      <c r="H147" t="s">
        <v>62</v>
      </c>
      <c r="I147" t="s">
        <v>52</v>
      </c>
      <c r="J147" t="s">
        <v>194</v>
      </c>
      <c r="K147" t="s">
        <v>361</v>
      </c>
      <c r="L147">
        <v>10</v>
      </c>
      <c r="M147">
        <v>496.95</v>
      </c>
      <c r="N147">
        <v>0.1</v>
      </c>
      <c r="O147">
        <v>4969.5</v>
      </c>
      <c r="P147">
        <v>-363.79</v>
      </c>
    </row>
    <row r="148" spans="1:16" x14ac:dyDescent="0.35">
      <c r="A148" t="s">
        <v>362</v>
      </c>
      <c r="B148" s="1">
        <v>45447</v>
      </c>
      <c r="C148" s="1">
        <v>45454</v>
      </c>
      <c r="D148" t="s">
        <v>17</v>
      </c>
      <c r="E148" t="s">
        <v>363</v>
      </c>
      <c r="F148" t="s">
        <v>19</v>
      </c>
      <c r="G148" t="s">
        <v>90</v>
      </c>
      <c r="H148" t="s">
        <v>73</v>
      </c>
      <c r="I148" t="s">
        <v>52</v>
      </c>
      <c r="J148" t="s">
        <v>53</v>
      </c>
      <c r="K148" t="s">
        <v>54</v>
      </c>
      <c r="L148">
        <v>11</v>
      </c>
      <c r="M148">
        <v>75.209999999999994</v>
      </c>
      <c r="N148">
        <v>0</v>
      </c>
      <c r="O148">
        <v>827.31</v>
      </c>
      <c r="P148">
        <v>272.44</v>
      </c>
    </row>
    <row r="149" spans="1:16" x14ac:dyDescent="0.35">
      <c r="A149" t="s">
        <v>364</v>
      </c>
      <c r="B149" s="1">
        <v>45396</v>
      </c>
      <c r="C149" s="1">
        <v>45402</v>
      </c>
      <c r="D149" t="s">
        <v>65</v>
      </c>
      <c r="E149" t="s">
        <v>151</v>
      </c>
      <c r="F149" t="s">
        <v>19</v>
      </c>
      <c r="G149" t="s">
        <v>111</v>
      </c>
      <c r="H149" t="s">
        <v>112</v>
      </c>
      <c r="I149" t="s">
        <v>30</v>
      </c>
      <c r="J149" t="s">
        <v>31</v>
      </c>
      <c r="K149" t="s">
        <v>87</v>
      </c>
      <c r="L149">
        <v>9</v>
      </c>
      <c r="M149">
        <v>898.6</v>
      </c>
      <c r="N149">
        <v>0.1</v>
      </c>
      <c r="O149">
        <v>8087.4</v>
      </c>
      <c r="P149">
        <v>2561.7600000000002</v>
      </c>
    </row>
    <row r="150" spans="1:16" x14ac:dyDescent="0.35">
      <c r="A150" t="s">
        <v>365</v>
      </c>
      <c r="B150" s="1">
        <v>44994</v>
      </c>
      <c r="C150" s="1">
        <v>44996</v>
      </c>
      <c r="D150" t="s">
        <v>59</v>
      </c>
      <c r="E150" t="s">
        <v>71</v>
      </c>
      <c r="F150" t="s">
        <v>19</v>
      </c>
      <c r="G150" t="s">
        <v>132</v>
      </c>
      <c r="H150" t="s">
        <v>129</v>
      </c>
      <c r="I150" t="s">
        <v>52</v>
      </c>
      <c r="J150" t="s">
        <v>194</v>
      </c>
      <c r="K150" t="s">
        <v>306</v>
      </c>
      <c r="L150">
        <v>10</v>
      </c>
      <c r="M150">
        <v>663.12</v>
      </c>
      <c r="N150">
        <v>0.1</v>
      </c>
      <c r="O150">
        <v>6631.2</v>
      </c>
      <c r="P150">
        <v>1393.22</v>
      </c>
    </row>
    <row r="151" spans="1:16" x14ac:dyDescent="0.35">
      <c r="A151" t="s">
        <v>366</v>
      </c>
      <c r="B151" s="1">
        <v>44972</v>
      </c>
      <c r="C151" s="1">
        <v>44978</v>
      </c>
      <c r="D151" t="s">
        <v>59</v>
      </c>
      <c r="E151" t="s">
        <v>243</v>
      </c>
      <c r="F151" t="s">
        <v>35</v>
      </c>
      <c r="G151" t="s">
        <v>82</v>
      </c>
      <c r="H151" t="s">
        <v>83</v>
      </c>
      <c r="I151" t="s">
        <v>52</v>
      </c>
      <c r="J151" t="s">
        <v>78</v>
      </c>
      <c r="K151" t="s">
        <v>198</v>
      </c>
      <c r="L151">
        <v>11</v>
      </c>
      <c r="M151">
        <v>248.41</v>
      </c>
      <c r="N151">
        <v>0.3</v>
      </c>
      <c r="O151">
        <v>2732.51</v>
      </c>
      <c r="P151">
        <v>-152.93</v>
      </c>
    </row>
    <row r="152" spans="1:16" x14ac:dyDescent="0.35">
      <c r="A152" t="s">
        <v>367</v>
      </c>
      <c r="B152" s="1">
        <v>44950</v>
      </c>
      <c r="C152" s="1">
        <v>44955</v>
      </c>
      <c r="D152" t="s">
        <v>44</v>
      </c>
      <c r="E152" t="s">
        <v>368</v>
      </c>
      <c r="F152" t="s">
        <v>27</v>
      </c>
      <c r="G152" t="s">
        <v>72</v>
      </c>
      <c r="H152" t="s">
        <v>73</v>
      </c>
      <c r="I152" t="s">
        <v>52</v>
      </c>
      <c r="J152" t="s">
        <v>194</v>
      </c>
      <c r="K152" t="s">
        <v>306</v>
      </c>
      <c r="L152">
        <v>7</v>
      </c>
      <c r="M152">
        <v>558.11</v>
      </c>
      <c r="N152">
        <v>0.15</v>
      </c>
      <c r="O152">
        <v>3906.77</v>
      </c>
      <c r="P152">
        <v>-77.83</v>
      </c>
    </row>
    <row r="153" spans="1:16" x14ac:dyDescent="0.35">
      <c r="A153" t="s">
        <v>369</v>
      </c>
      <c r="B153" s="1">
        <v>44984</v>
      </c>
      <c r="C153" s="1">
        <v>44987</v>
      </c>
      <c r="D153" t="s">
        <v>44</v>
      </c>
      <c r="E153" t="s">
        <v>326</v>
      </c>
      <c r="F153" t="s">
        <v>19</v>
      </c>
      <c r="G153" t="s">
        <v>103</v>
      </c>
      <c r="H153" t="s">
        <v>62</v>
      </c>
      <c r="I153" t="s">
        <v>52</v>
      </c>
      <c r="J153" t="s">
        <v>78</v>
      </c>
      <c r="K153" t="s">
        <v>198</v>
      </c>
      <c r="L153">
        <v>5</v>
      </c>
      <c r="M153">
        <v>73.67</v>
      </c>
      <c r="N153">
        <v>0.3</v>
      </c>
      <c r="O153">
        <v>368.35</v>
      </c>
      <c r="P153">
        <v>124.75</v>
      </c>
    </row>
    <row r="154" spans="1:16" x14ac:dyDescent="0.35">
      <c r="A154" t="s">
        <v>370</v>
      </c>
      <c r="B154" s="1">
        <v>45044</v>
      </c>
      <c r="C154" s="1">
        <v>45051</v>
      </c>
      <c r="D154" t="s">
        <v>17</v>
      </c>
      <c r="E154" t="s">
        <v>371</v>
      </c>
      <c r="F154" t="s">
        <v>35</v>
      </c>
      <c r="G154" t="s">
        <v>67</v>
      </c>
      <c r="H154" t="s">
        <v>21</v>
      </c>
      <c r="I154" t="s">
        <v>22</v>
      </c>
      <c r="J154" t="s">
        <v>37</v>
      </c>
      <c r="K154" t="s">
        <v>38</v>
      </c>
      <c r="L154">
        <v>12</v>
      </c>
      <c r="M154">
        <v>658.76</v>
      </c>
      <c r="N154">
        <v>0.15</v>
      </c>
      <c r="O154">
        <v>7905.12</v>
      </c>
      <c r="P154">
        <v>-469.61</v>
      </c>
    </row>
    <row r="155" spans="1:16" x14ac:dyDescent="0.35">
      <c r="A155" t="s">
        <v>372</v>
      </c>
      <c r="B155" s="1">
        <v>45229</v>
      </c>
      <c r="C155" s="1">
        <v>45232</v>
      </c>
      <c r="D155" t="s">
        <v>17</v>
      </c>
      <c r="E155" t="s">
        <v>373</v>
      </c>
      <c r="F155" t="s">
        <v>35</v>
      </c>
      <c r="H155" t="s">
        <v>112</v>
      </c>
      <c r="I155" t="s">
        <v>52</v>
      </c>
      <c r="J155" t="s">
        <v>68</v>
      </c>
      <c r="K155" t="s">
        <v>108</v>
      </c>
      <c r="L155">
        <v>11</v>
      </c>
      <c r="M155">
        <v>473.12</v>
      </c>
      <c r="N155">
        <v>0.3</v>
      </c>
      <c r="O155">
        <v>5204.32</v>
      </c>
      <c r="P155">
        <v>861.38</v>
      </c>
    </row>
    <row r="156" spans="1:16" x14ac:dyDescent="0.35">
      <c r="A156" t="s">
        <v>374</v>
      </c>
      <c r="B156" s="1">
        <v>45228</v>
      </c>
      <c r="C156" s="1">
        <v>45235</v>
      </c>
      <c r="D156" t="s">
        <v>65</v>
      </c>
      <c r="E156" t="s">
        <v>375</v>
      </c>
      <c r="F156" t="s">
        <v>27</v>
      </c>
      <c r="G156" t="s">
        <v>103</v>
      </c>
      <c r="H156" t="s">
        <v>62</v>
      </c>
      <c r="I156" t="s">
        <v>30</v>
      </c>
      <c r="J156" t="s">
        <v>41</v>
      </c>
      <c r="K156" t="s">
        <v>42</v>
      </c>
      <c r="L156">
        <v>1</v>
      </c>
      <c r="M156">
        <v>493.69</v>
      </c>
      <c r="N156">
        <v>0</v>
      </c>
      <c r="O156">
        <v>493.69</v>
      </c>
      <c r="P156">
        <v>-25.51</v>
      </c>
    </row>
    <row r="157" spans="1:16" x14ac:dyDescent="0.35">
      <c r="A157" t="s">
        <v>376</v>
      </c>
      <c r="B157" s="1">
        <v>45337</v>
      </c>
      <c r="C157" s="1">
        <v>45339</v>
      </c>
      <c r="D157" t="s">
        <v>59</v>
      </c>
      <c r="E157" t="s">
        <v>295</v>
      </c>
      <c r="F157" t="s">
        <v>27</v>
      </c>
      <c r="G157" t="s">
        <v>51</v>
      </c>
      <c r="H157" t="s">
        <v>21</v>
      </c>
      <c r="I157" t="s">
        <v>30</v>
      </c>
      <c r="J157" t="s">
        <v>99</v>
      </c>
      <c r="K157" t="s">
        <v>247</v>
      </c>
      <c r="L157">
        <v>10</v>
      </c>
      <c r="M157">
        <v>618.75</v>
      </c>
      <c r="N157">
        <v>0.3</v>
      </c>
      <c r="O157">
        <v>6187.5</v>
      </c>
      <c r="P157">
        <v>1978.2</v>
      </c>
    </row>
    <row r="158" spans="1:16" x14ac:dyDescent="0.35">
      <c r="A158" t="s">
        <v>377</v>
      </c>
      <c r="B158" s="1">
        <v>45263</v>
      </c>
      <c r="C158" s="1">
        <v>45264</v>
      </c>
      <c r="D158" t="s">
        <v>44</v>
      </c>
      <c r="E158" t="s">
        <v>331</v>
      </c>
      <c r="F158" t="s">
        <v>19</v>
      </c>
      <c r="G158" t="s">
        <v>28</v>
      </c>
      <c r="H158" t="s">
        <v>29</v>
      </c>
      <c r="I158" t="s">
        <v>30</v>
      </c>
      <c r="J158" t="s">
        <v>41</v>
      </c>
      <c r="K158" t="s">
        <v>191</v>
      </c>
      <c r="L158">
        <v>12</v>
      </c>
      <c r="M158">
        <v>634.45000000000005</v>
      </c>
      <c r="N158">
        <v>0.3</v>
      </c>
      <c r="O158">
        <v>7613.4</v>
      </c>
      <c r="P158">
        <v>353.23</v>
      </c>
    </row>
    <row r="159" spans="1:16" x14ac:dyDescent="0.35">
      <c r="A159" t="s">
        <v>378</v>
      </c>
      <c r="B159" s="1">
        <v>45573</v>
      </c>
      <c r="C159" s="1">
        <v>45576</v>
      </c>
      <c r="D159" t="s">
        <v>44</v>
      </c>
      <c r="E159" t="s">
        <v>379</v>
      </c>
      <c r="F159" t="s">
        <v>19</v>
      </c>
      <c r="G159" t="s">
        <v>82</v>
      </c>
      <c r="H159" t="s">
        <v>46</v>
      </c>
      <c r="I159" t="s">
        <v>52</v>
      </c>
      <c r="J159" t="s">
        <v>160</v>
      </c>
      <c r="K159" t="s">
        <v>161</v>
      </c>
      <c r="L159">
        <v>3</v>
      </c>
      <c r="M159">
        <v>175.18</v>
      </c>
      <c r="N159">
        <v>0.2</v>
      </c>
      <c r="O159">
        <v>525.54</v>
      </c>
      <c r="P159">
        <v>48.2</v>
      </c>
    </row>
    <row r="160" spans="1:16" x14ac:dyDescent="0.35">
      <c r="A160" t="s">
        <v>380</v>
      </c>
      <c r="B160" s="1">
        <v>45273</v>
      </c>
      <c r="C160" s="1">
        <v>45274</v>
      </c>
      <c r="D160" t="s">
        <v>65</v>
      </c>
      <c r="E160" t="s">
        <v>381</v>
      </c>
      <c r="F160" t="s">
        <v>19</v>
      </c>
      <c r="G160" t="s">
        <v>72</v>
      </c>
      <c r="H160" t="s">
        <v>73</v>
      </c>
      <c r="I160" t="s">
        <v>30</v>
      </c>
      <c r="J160" t="s">
        <v>41</v>
      </c>
      <c r="K160" t="s">
        <v>42</v>
      </c>
      <c r="L160">
        <v>1</v>
      </c>
      <c r="M160">
        <v>774.37</v>
      </c>
      <c r="N160">
        <v>0</v>
      </c>
      <c r="O160">
        <v>774.37</v>
      </c>
      <c r="P160">
        <v>82.92</v>
      </c>
    </row>
    <row r="161" spans="1:16" x14ac:dyDescent="0.35">
      <c r="A161" t="s">
        <v>382</v>
      </c>
      <c r="B161" s="1">
        <v>45491</v>
      </c>
      <c r="C161" s="1">
        <v>45497</v>
      </c>
      <c r="D161" t="s">
        <v>65</v>
      </c>
      <c r="E161" t="s">
        <v>383</v>
      </c>
      <c r="F161" t="s">
        <v>19</v>
      </c>
      <c r="G161" t="s">
        <v>20</v>
      </c>
      <c r="H161" t="s">
        <v>21</v>
      </c>
      <c r="I161" t="s">
        <v>22</v>
      </c>
      <c r="J161" t="s">
        <v>115</v>
      </c>
      <c r="K161" t="s">
        <v>147</v>
      </c>
      <c r="L161">
        <v>7</v>
      </c>
      <c r="M161">
        <v>267.64</v>
      </c>
      <c r="N161">
        <v>0.3</v>
      </c>
      <c r="O161">
        <v>1873.48</v>
      </c>
      <c r="P161">
        <v>-181.19</v>
      </c>
    </row>
    <row r="162" spans="1:16" x14ac:dyDescent="0.35">
      <c r="A162" t="s">
        <v>384</v>
      </c>
      <c r="B162" s="1">
        <v>45582</v>
      </c>
      <c r="C162" s="1">
        <v>45585</v>
      </c>
      <c r="D162" t="s">
        <v>44</v>
      </c>
      <c r="E162" t="s">
        <v>186</v>
      </c>
      <c r="F162" t="s">
        <v>19</v>
      </c>
      <c r="G162" t="s">
        <v>51</v>
      </c>
      <c r="H162" t="s">
        <v>36</v>
      </c>
      <c r="I162" t="s">
        <v>30</v>
      </c>
      <c r="J162" t="s">
        <v>99</v>
      </c>
      <c r="K162" t="s">
        <v>247</v>
      </c>
      <c r="L162">
        <v>7</v>
      </c>
      <c r="M162">
        <v>596.16999999999996</v>
      </c>
      <c r="N162">
        <v>0.2</v>
      </c>
      <c r="O162">
        <v>4173.1899999999996</v>
      </c>
      <c r="P162">
        <v>-334</v>
      </c>
    </row>
    <row r="163" spans="1:16" x14ac:dyDescent="0.35">
      <c r="A163" t="s">
        <v>385</v>
      </c>
      <c r="B163" s="1">
        <v>45093</v>
      </c>
      <c r="C163" s="1">
        <v>45098</v>
      </c>
      <c r="E163" t="s">
        <v>386</v>
      </c>
      <c r="F163" t="s">
        <v>19</v>
      </c>
      <c r="H163" t="s">
        <v>159</v>
      </c>
      <c r="I163" t="s">
        <v>30</v>
      </c>
      <c r="J163" t="s">
        <v>41</v>
      </c>
      <c r="K163" t="s">
        <v>124</v>
      </c>
      <c r="L163">
        <v>6</v>
      </c>
      <c r="M163">
        <v>131.87</v>
      </c>
      <c r="N163">
        <v>0.3</v>
      </c>
      <c r="O163">
        <v>791.22</v>
      </c>
      <c r="P163">
        <v>166.35</v>
      </c>
    </row>
    <row r="164" spans="1:16" x14ac:dyDescent="0.35">
      <c r="A164" t="s">
        <v>387</v>
      </c>
      <c r="B164" s="1">
        <v>45046</v>
      </c>
      <c r="C164" s="1">
        <v>45050</v>
      </c>
      <c r="D164" t="s">
        <v>17</v>
      </c>
      <c r="E164" t="s">
        <v>342</v>
      </c>
      <c r="F164" t="s">
        <v>19</v>
      </c>
      <c r="G164" t="s">
        <v>90</v>
      </c>
      <c r="H164" t="s">
        <v>62</v>
      </c>
      <c r="I164" t="s">
        <v>22</v>
      </c>
      <c r="J164" t="s">
        <v>37</v>
      </c>
      <c r="K164" t="s">
        <v>38</v>
      </c>
      <c r="L164">
        <v>12</v>
      </c>
      <c r="M164">
        <v>177.02</v>
      </c>
      <c r="N164">
        <v>0</v>
      </c>
      <c r="O164">
        <v>2124.2399999999998</v>
      </c>
      <c r="P164">
        <v>146.69</v>
      </c>
    </row>
    <row r="165" spans="1:16" x14ac:dyDescent="0.35">
      <c r="A165" t="s">
        <v>388</v>
      </c>
      <c r="B165" s="1">
        <v>45194</v>
      </c>
      <c r="C165" s="1">
        <v>45199</v>
      </c>
      <c r="D165" t="s">
        <v>17</v>
      </c>
      <c r="E165" t="s">
        <v>389</v>
      </c>
      <c r="F165" t="s">
        <v>35</v>
      </c>
      <c r="G165" t="s">
        <v>82</v>
      </c>
      <c r="H165" t="s">
        <v>46</v>
      </c>
      <c r="I165" t="s">
        <v>22</v>
      </c>
      <c r="J165" t="s">
        <v>115</v>
      </c>
      <c r="K165" t="s">
        <v>133</v>
      </c>
      <c r="L165">
        <v>11</v>
      </c>
      <c r="M165">
        <v>579.23</v>
      </c>
      <c r="N165">
        <v>0.2</v>
      </c>
      <c r="O165">
        <v>6371.53</v>
      </c>
      <c r="P165">
        <v>456.85</v>
      </c>
    </row>
    <row r="166" spans="1:16" x14ac:dyDescent="0.35">
      <c r="A166" t="s">
        <v>390</v>
      </c>
      <c r="B166" s="1">
        <v>45424</v>
      </c>
      <c r="C166" s="1">
        <v>45426</v>
      </c>
      <c r="D166" t="s">
        <v>59</v>
      </c>
      <c r="E166" t="s">
        <v>231</v>
      </c>
      <c r="F166" t="s">
        <v>19</v>
      </c>
      <c r="G166" t="s">
        <v>72</v>
      </c>
      <c r="H166" t="s">
        <v>62</v>
      </c>
      <c r="I166" t="s">
        <v>30</v>
      </c>
      <c r="J166" t="s">
        <v>31</v>
      </c>
      <c r="K166" t="s">
        <v>57</v>
      </c>
      <c r="L166">
        <v>2</v>
      </c>
      <c r="M166">
        <v>594.79</v>
      </c>
      <c r="N166">
        <v>0</v>
      </c>
      <c r="O166">
        <v>1189.58</v>
      </c>
      <c r="P166">
        <v>73.5</v>
      </c>
    </row>
    <row r="167" spans="1:16" x14ac:dyDescent="0.35">
      <c r="A167" t="s">
        <v>391</v>
      </c>
      <c r="B167" s="1">
        <v>45328</v>
      </c>
      <c r="C167" s="1">
        <v>45331</v>
      </c>
      <c r="D167" t="s">
        <v>65</v>
      </c>
      <c r="E167" t="s">
        <v>272</v>
      </c>
      <c r="F167" t="s">
        <v>19</v>
      </c>
      <c r="G167" t="s">
        <v>28</v>
      </c>
      <c r="H167" t="s">
        <v>29</v>
      </c>
      <c r="I167" t="s">
        <v>52</v>
      </c>
      <c r="J167" t="s">
        <v>78</v>
      </c>
      <c r="K167" t="s">
        <v>96</v>
      </c>
      <c r="L167">
        <v>7</v>
      </c>
      <c r="M167">
        <v>355</v>
      </c>
      <c r="N167">
        <v>0.15</v>
      </c>
      <c r="O167">
        <v>2485</v>
      </c>
      <c r="P167">
        <v>530.24</v>
      </c>
    </row>
    <row r="168" spans="1:16" x14ac:dyDescent="0.35">
      <c r="A168" t="s">
        <v>392</v>
      </c>
      <c r="B168" s="1">
        <v>45377</v>
      </c>
      <c r="C168" s="1">
        <v>45378</v>
      </c>
      <c r="D168" t="s">
        <v>44</v>
      </c>
      <c r="E168" t="s">
        <v>210</v>
      </c>
      <c r="F168" t="s">
        <v>27</v>
      </c>
      <c r="G168" t="s">
        <v>187</v>
      </c>
      <c r="H168" t="s">
        <v>159</v>
      </c>
      <c r="I168" t="s">
        <v>52</v>
      </c>
      <c r="J168" t="s">
        <v>53</v>
      </c>
      <c r="K168" t="s">
        <v>91</v>
      </c>
      <c r="L168">
        <v>3</v>
      </c>
      <c r="M168">
        <v>63.68</v>
      </c>
      <c r="N168">
        <v>0.1</v>
      </c>
      <c r="O168">
        <v>191.04</v>
      </c>
      <c r="P168">
        <v>35.630000000000003</v>
      </c>
    </row>
    <row r="169" spans="1:16" x14ac:dyDescent="0.35">
      <c r="A169" t="s">
        <v>393</v>
      </c>
      <c r="B169" s="1">
        <v>45493</v>
      </c>
      <c r="C169" s="1">
        <v>45497</v>
      </c>
      <c r="D169" t="s">
        <v>44</v>
      </c>
      <c r="F169" t="s">
        <v>27</v>
      </c>
      <c r="G169" t="s">
        <v>67</v>
      </c>
      <c r="H169" t="s">
        <v>36</v>
      </c>
      <c r="I169" t="s">
        <v>52</v>
      </c>
      <c r="J169" t="s">
        <v>53</v>
      </c>
      <c r="K169" t="s">
        <v>91</v>
      </c>
      <c r="L169">
        <v>8</v>
      </c>
      <c r="M169">
        <v>672.34</v>
      </c>
      <c r="N169">
        <v>0</v>
      </c>
      <c r="O169">
        <v>5378.72</v>
      </c>
      <c r="P169">
        <v>-452.15</v>
      </c>
    </row>
    <row r="170" spans="1:16" x14ac:dyDescent="0.35">
      <c r="A170" t="s">
        <v>394</v>
      </c>
      <c r="B170" s="1">
        <v>45599</v>
      </c>
      <c r="C170" s="1">
        <v>45606</v>
      </c>
      <c r="D170" t="s">
        <v>44</v>
      </c>
      <c r="E170" t="s">
        <v>395</v>
      </c>
      <c r="F170" t="s">
        <v>19</v>
      </c>
      <c r="G170" t="s">
        <v>288</v>
      </c>
      <c r="H170" t="s">
        <v>129</v>
      </c>
      <c r="I170" t="s">
        <v>22</v>
      </c>
      <c r="J170" t="s">
        <v>37</v>
      </c>
      <c r="K170" t="s">
        <v>38</v>
      </c>
      <c r="L170">
        <v>3</v>
      </c>
      <c r="M170">
        <v>751.74</v>
      </c>
      <c r="N170">
        <v>0.3</v>
      </c>
      <c r="O170">
        <v>2255.2199999999998</v>
      </c>
      <c r="P170">
        <v>-125.92</v>
      </c>
    </row>
    <row r="171" spans="1:16" x14ac:dyDescent="0.35">
      <c r="A171" t="s">
        <v>396</v>
      </c>
      <c r="B171" s="1">
        <v>45177</v>
      </c>
      <c r="C171" s="1">
        <v>45180</v>
      </c>
      <c r="D171" t="s">
        <v>44</v>
      </c>
      <c r="E171" t="s">
        <v>397</v>
      </c>
      <c r="F171" t="s">
        <v>35</v>
      </c>
      <c r="G171" t="s">
        <v>20</v>
      </c>
      <c r="H171" t="s">
        <v>36</v>
      </c>
      <c r="I171" t="s">
        <v>22</v>
      </c>
      <c r="J171" t="s">
        <v>115</v>
      </c>
      <c r="K171" t="s">
        <v>116</v>
      </c>
      <c r="L171">
        <v>11</v>
      </c>
      <c r="M171">
        <v>736.31</v>
      </c>
      <c r="N171">
        <v>0</v>
      </c>
      <c r="O171">
        <v>8099.41</v>
      </c>
      <c r="P171">
        <v>2558.4299999999998</v>
      </c>
    </row>
    <row r="172" spans="1:16" x14ac:dyDescent="0.35">
      <c r="A172" t="s">
        <v>398</v>
      </c>
      <c r="B172" s="1">
        <v>45538</v>
      </c>
      <c r="C172" s="1">
        <v>45541</v>
      </c>
      <c r="D172" t="s">
        <v>44</v>
      </c>
      <c r="E172" t="s">
        <v>395</v>
      </c>
      <c r="F172" t="s">
        <v>35</v>
      </c>
      <c r="G172" t="s">
        <v>181</v>
      </c>
      <c r="H172" t="s">
        <v>83</v>
      </c>
      <c r="I172" t="s">
        <v>30</v>
      </c>
      <c r="J172" t="s">
        <v>41</v>
      </c>
      <c r="K172" t="s">
        <v>124</v>
      </c>
      <c r="L172">
        <v>6</v>
      </c>
      <c r="M172">
        <v>897.08</v>
      </c>
      <c r="N172">
        <v>0.2</v>
      </c>
      <c r="O172">
        <v>5382.48</v>
      </c>
      <c r="P172">
        <v>1795.62</v>
      </c>
    </row>
    <row r="173" spans="1:16" x14ac:dyDescent="0.35">
      <c r="A173" t="s">
        <v>399</v>
      </c>
      <c r="B173" s="1">
        <v>45302</v>
      </c>
      <c r="C173" s="1">
        <v>45307</v>
      </c>
      <c r="D173" t="s">
        <v>17</v>
      </c>
      <c r="E173" t="s">
        <v>400</v>
      </c>
      <c r="F173" t="s">
        <v>19</v>
      </c>
      <c r="G173" t="s">
        <v>90</v>
      </c>
      <c r="H173" t="s">
        <v>62</v>
      </c>
      <c r="I173" t="s">
        <v>30</v>
      </c>
      <c r="J173" t="s">
        <v>31</v>
      </c>
      <c r="K173" t="s">
        <v>87</v>
      </c>
      <c r="L173">
        <v>11</v>
      </c>
      <c r="M173">
        <v>43.19</v>
      </c>
      <c r="N173">
        <v>0.2</v>
      </c>
      <c r="O173">
        <v>475.09</v>
      </c>
      <c r="P173">
        <v>-57.71</v>
      </c>
    </row>
    <row r="174" spans="1:16" x14ac:dyDescent="0.35">
      <c r="A174" t="s">
        <v>401</v>
      </c>
      <c r="B174" s="1">
        <v>44957</v>
      </c>
      <c r="C174" s="1">
        <v>44958</v>
      </c>
      <c r="D174" t="s">
        <v>44</v>
      </c>
      <c r="E174" t="s">
        <v>85</v>
      </c>
      <c r="F174" t="s">
        <v>35</v>
      </c>
      <c r="G174" t="s">
        <v>181</v>
      </c>
      <c r="H174" t="s">
        <v>83</v>
      </c>
      <c r="I174" t="s">
        <v>22</v>
      </c>
      <c r="J174" t="s">
        <v>74</v>
      </c>
      <c r="K174" t="s">
        <v>253</v>
      </c>
      <c r="L174">
        <v>6</v>
      </c>
      <c r="M174">
        <v>152.61000000000001</v>
      </c>
      <c r="N174">
        <v>0.2</v>
      </c>
      <c r="O174">
        <v>915.66</v>
      </c>
      <c r="P174">
        <v>232.56</v>
      </c>
    </row>
    <row r="175" spans="1:16" x14ac:dyDescent="0.35">
      <c r="A175" t="s">
        <v>402</v>
      </c>
      <c r="B175" s="1">
        <v>44951</v>
      </c>
      <c r="C175" s="1">
        <v>44954</v>
      </c>
      <c r="D175" t="s">
        <v>17</v>
      </c>
      <c r="E175" t="s">
        <v>403</v>
      </c>
      <c r="F175" t="s">
        <v>27</v>
      </c>
      <c r="G175" t="s">
        <v>132</v>
      </c>
      <c r="H175" t="s">
        <v>129</v>
      </c>
      <c r="I175" t="s">
        <v>22</v>
      </c>
      <c r="J175" t="s">
        <v>23</v>
      </c>
      <c r="K175" t="s">
        <v>178</v>
      </c>
      <c r="L175">
        <v>8</v>
      </c>
      <c r="M175">
        <v>771.48</v>
      </c>
      <c r="N175">
        <v>0</v>
      </c>
      <c r="O175">
        <v>6171.84</v>
      </c>
      <c r="P175">
        <v>-696.1</v>
      </c>
    </row>
    <row r="176" spans="1:16" x14ac:dyDescent="0.35">
      <c r="A176" t="s">
        <v>404</v>
      </c>
      <c r="B176" s="1">
        <v>45476</v>
      </c>
      <c r="C176" s="1">
        <v>45479</v>
      </c>
      <c r="D176" t="s">
        <v>44</v>
      </c>
      <c r="E176" t="s">
        <v>231</v>
      </c>
      <c r="F176" t="s">
        <v>27</v>
      </c>
      <c r="G176" t="s">
        <v>67</v>
      </c>
      <c r="H176" t="s">
        <v>36</v>
      </c>
      <c r="I176" t="s">
        <v>30</v>
      </c>
      <c r="J176" t="s">
        <v>41</v>
      </c>
      <c r="K176" t="s">
        <v>105</v>
      </c>
      <c r="L176">
        <v>9</v>
      </c>
      <c r="M176">
        <v>762.58</v>
      </c>
      <c r="N176">
        <v>0</v>
      </c>
      <c r="O176">
        <v>6863.22</v>
      </c>
      <c r="P176">
        <v>-593.27</v>
      </c>
    </row>
    <row r="177" spans="1:16" x14ac:dyDescent="0.35">
      <c r="A177" t="s">
        <v>405</v>
      </c>
      <c r="B177" s="1">
        <v>45262</v>
      </c>
      <c r="C177" s="1">
        <v>45266</v>
      </c>
      <c r="D177" t="s">
        <v>59</v>
      </c>
      <c r="E177" t="s">
        <v>406</v>
      </c>
      <c r="F177" t="s">
        <v>27</v>
      </c>
      <c r="G177" t="s">
        <v>72</v>
      </c>
      <c r="H177" t="s">
        <v>73</v>
      </c>
      <c r="I177" t="s">
        <v>22</v>
      </c>
      <c r="J177" t="s">
        <v>74</v>
      </c>
      <c r="K177" t="s">
        <v>75</v>
      </c>
      <c r="L177">
        <v>8</v>
      </c>
      <c r="M177">
        <v>661.46</v>
      </c>
      <c r="N177">
        <v>0.15</v>
      </c>
      <c r="O177">
        <v>5291.68</v>
      </c>
      <c r="P177">
        <v>-704.8</v>
      </c>
    </row>
    <row r="178" spans="1:16" x14ac:dyDescent="0.35">
      <c r="A178" t="s">
        <v>407</v>
      </c>
      <c r="B178" s="1">
        <v>45538</v>
      </c>
      <c r="C178" s="1">
        <v>45544</v>
      </c>
      <c r="D178" t="s">
        <v>17</v>
      </c>
      <c r="E178" t="s">
        <v>408</v>
      </c>
      <c r="F178" t="s">
        <v>27</v>
      </c>
      <c r="G178" t="s">
        <v>332</v>
      </c>
      <c r="H178" t="s">
        <v>46</v>
      </c>
      <c r="I178" t="s">
        <v>52</v>
      </c>
      <c r="J178" t="s">
        <v>68</v>
      </c>
      <c r="K178" t="s">
        <v>216</v>
      </c>
      <c r="L178">
        <v>4</v>
      </c>
      <c r="M178">
        <v>557.76</v>
      </c>
      <c r="N178">
        <v>0.2</v>
      </c>
      <c r="O178">
        <v>2231.04</v>
      </c>
      <c r="P178">
        <v>235.64</v>
      </c>
    </row>
    <row r="179" spans="1:16" x14ac:dyDescent="0.35">
      <c r="A179" t="s">
        <v>409</v>
      </c>
      <c r="B179" s="1">
        <v>45644</v>
      </c>
      <c r="C179" s="1">
        <v>45647</v>
      </c>
      <c r="D179" t="s">
        <v>44</v>
      </c>
      <c r="E179" t="s">
        <v>410</v>
      </c>
      <c r="F179" t="s">
        <v>19</v>
      </c>
      <c r="G179" t="s">
        <v>72</v>
      </c>
      <c r="H179" t="s">
        <v>73</v>
      </c>
      <c r="I179" t="s">
        <v>52</v>
      </c>
      <c r="J179" t="s">
        <v>53</v>
      </c>
      <c r="K179" t="s">
        <v>91</v>
      </c>
      <c r="L179">
        <v>1</v>
      </c>
      <c r="M179">
        <v>85.78</v>
      </c>
      <c r="N179">
        <v>0</v>
      </c>
      <c r="O179">
        <v>85.78</v>
      </c>
      <c r="P179">
        <v>12.94</v>
      </c>
    </row>
    <row r="180" spans="1:16" x14ac:dyDescent="0.35">
      <c r="A180" t="s">
        <v>411</v>
      </c>
      <c r="B180" s="1">
        <v>45395</v>
      </c>
      <c r="C180" s="1">
        <v>45402</v>
      </c>
      <c r="D180" t="s">
        <v>17</v>
      </c>
      <c r="E180" t="s">
        <v>261</v>
      </c>
      <c r="F180" t="s">
        <v>27</v>
      </c>
      <c r="G180" t="s">
        <v>86</v>
      </c>
      <c r="H180" t="s">
        <v>159</v>
      </c>
      <c r="I180" t="s">
        <v>52</v>
      </c>
      <c r="J180" t="s">
        <v>160</v>
      </c>
      <c r="K180" t="s">
        <v>161</v>
      </c>
      <c r="L180">
        <v>8</v>
      </c>
      <c r="M180">
        <v>414.36</v>
      </c>
      <c r="N180">
        <v>0.15</v>
      </c>
      <c r="O180">
        <v>3314.88</v>
      </c>
      <c r="P180">
        <v>1087.5999999999999</v>
      </c>
    </row>
    <row r="181" spans="1:16" x14ac:dyDescent="0.35">
      <c r="A181" t="s">
        <v>412</v>
      </c>
      <c r="B181" s="1">
        <v>45313</v>
      </c>
      <c r="C181" s="1">
        <v>45316</v>
      </c>
      <c r="D181" t="s">
        <v>65</v>
      </c>
      <c r="E181" t="s">
        <v>363</v>
      </c>
      <c r="F181" t="s">
        <v>19</v>
      </c>
      <c r="G181" t="s">
        <v>20</v>
      </c>
      <c r="H181" t="s">
        <v>36</v>
      </c>
      <c r="I181" t="s">
        <v>22</v>
      </c>
      <c r="J181" t="s">
        <v>115</v>
      </c>
      <c r="K181" t="s">
        <v>116</v>
      </c>
      <c r="L181">
        <v>7</v>
      </c>
      <c r="M181">
        <v>508.89</v>
      </c>
      <c r="N181">
        <v>0</v>
      </c>
      <c r="O181">
        <v>3562.23</v>
      </c>
      <c r="P181">
        <v>201.22</v>
      </c>
    </row>
    <row r="182" spans="1:16" x14ac:dyDescent="0.35">
      <c r="A182" t="s">
        <v>413</v>
      </c>
      <c r="B182" s="1">
        <v>45051</v>
      </c>
      <c r="C182" s="1">
        <v>45055</v>
      </c>
      <c r="D182" t="s">
        <v>65</v>
      </c>
      <c r="E182" t="s">
        <v>263</v>
      </c>
      <c r="F182" t="s">
        <v>19</v>
      </c>
      <c r="G182" t="s">
        <v>72</v>
      </c>
      <c r="H182" t="s">
        <v>73</v>
      </c>
      <c r="I182" t="s">
        <v>22</v>
      </c>
      <c r="J182" t="s">
        <v>37</v>
      </c>
      <c r="K182" t="s">
        <v>144</v>
      </c>
      <c r="L182">
        <v>3</v>
      </c>
      <c r="M182">
        <v>348.64</v>
      </c>
      <c r="N182">
        <v>0.2</v>
      </c>
      <c r="O182">
        <v>1045.92</v>
      </c>
      <c r="P182">
        <v>210.62</v>
      </c>
    </row>
    <row r="183" spans="1:16" x14ac:dyDescent="0.35">
      <c r="A183" t="s">
        <v>414</v>
      </c>
      <c r="B183" s="1">
        <v>45248</v>
      </c>
      <c r="C183" s="1">
        <v>45249</v>
      </c>
      <c r="D183" t="s">
        <v>17</v>
      </c>
      <c r="E183" t="s">
        <v>415</v>
      </c>
      <c r="F183" t="s">
        <v>27</v>
      </c>
      <c r="G183" t="s">
        <v>45</v>
      </c>
      <c r="H183" t="s">
        <v>46</v>
      </c>
      <c r="I183" t="s">
        <v>22</v>
      </c>
      <c r="J183" t="s">
        <v>23</v>
      </c>
      <c r="K183" t="s">
        <v>178</v>
      </c>
      <c r="L183">
        <v>3</v>
      </c>
      <c r="M183">
        <v>66.33</v>
      </c>
      <c r="N183">
        <v>0</v>
      </c>
      <c r="O183">
        <v>198.99</v>
      </c>
      <c r="P183">
        <v>37.33</v>
      </c>
    </row>
    <row r="184" spans="1:16" x14ac:dyDescent="0.35">
      <c r="A184" t="s">
        <v>416</v>
      </c>
      <c r="B184" s="1">
        <v>45631</v>
      </c>
      <c r="C184" s="1">
        <v>45633</v>
      </c>
      <c r="D184" t="s">
        <v>44</v>
      </c>
      <c r="F184" t="s">
        <v>19</v>
      </c>
      <c r="G184" t="s">
        <v>111</v>
      </c>
      <c r="H184" t="s">
        <v>129</v>
      </c>
      <c r="I184" t="s">
        <v>22</v>
      </c>
      <c r="J184" t="s">
        <v>115</v>
      </c>
      <c r="K184" t="s">
        <v>147</v>
      </c>
      <c r="L184">
        <v>12</v>
      </c>
      <c r="M184">
        <v>139.05000000000001</v>
      </c>
      <c r="N184">
        <v>0</v>
      </c>
      <c r="O184">
        <v>1668.6</v>
      </c>
      <c r="P184">
        <v>10.72</v>
      </c>
    </row>
    <row r="185" spans="1:16" x14ac:dyDescent="0.35">
      <c r="A185" t="s">
        <v>417</v>
      </c>
      <c r="B185" s="1">
        <v>45558</v>
      </c>
      <c r="C185" s="1">
        <v>45559</v>
      </c>
      <c r="D185" t="s">
        <v>44</v>
      </c>
      <c r="E185" t="s">
        <v>126</v>
      </c>
      <c r="F185" t="s">
        <v>35</v>
      </c>
      <c r="G185" t="s">
        <v>181</v>
      </c>
      <c r="H185" t="s">
        <v>83</v>
      </c>
      <c r="I185" t="s">
        <v>30</v>
      </c>
      <c r="J185" t="s">
        <v>41</v>
      </c>
      <c r="K185" t="s">
        <v>124</v>
      </c>
      <c r="L185">
        <v>8</v>
      </c>
      <c r="M185">
        <v>346.37</v>
      </c>
      <c r="N185">
        <v>0.15</v>
      </c>
      <c r="O185">
        <v>2770.96</v>
      </c>
      <c r="P185">
        <v>916.09</v>
      </c>
    </row>
    <row r="186" spans="1:16" x14ac:dyDescent="0.35">
      <c r="A186" t="s">
        <v>418</v>
      </c>
      <c r="B186" s="1">
        <v>45070</v>
      </c>
      <c r="C186" s="1">
        <v>45075</v>
      </c>
      <c r="D186" t="s">
        <v>59</v>
      </c>
      <c r="E186" t="s">
        <v>419</v>
      </c>
      <c r="F186" t="s">
        <v>35</v>
      </c>
      <c r="G186" t="s">
        <v>20</v>
      </c>
      <c r="H186" t="s">
        <v>36</v>
      </c>
      <c r="I186" t="s">
        <v>30</v>
      </c>
      <c r="J186" t="s">
        <v>47</v>
      </c>
      <c r="K186" t="s">
        <v>94</v>
      </c>
      <c r="L186">
        <v>7</v>
      </c>
      <c r="M186">
        <v>604.72</v>
      </c>
      <c r="N186">
        <v>0.1</v>
      </c>
      <c r="O186">
        <v>4233.04</v>
      </c>
      <c r="P186">
        <v>1074.0899999999999</v>
      </c>
    </row>
    <row r="187" spans="1:16" x14ac:dyDescent="0.35">
      <c r="A187" t="s">
        <v>420</v>
      </c>
      <c r="B187" s="1">
        <v>45530</v>
      </c>
      <c r="C187" s="1">
        <v>45535</v>
      </c>
      <c r="D187" t="s">
        <v>59</v>
      </c>
      <c r="E187" t="s">
        <v>322</v>
      </c>
      <c r="F187" t="s">
        <v>35</v>
      </c>
      <c r="G187" t="s">
        <v>28</v>
      </c>
      <c r="H187" t="s">
        <v>159</v>
      </c>
      <c r="I187" t="s">
        <v>52</v>
      </c>
      <c r="J187" t="s">
        <v>53</v>
      </c>
      <c r="K187" t="s">
        <v>91</v>
      </c>
      <c r="L187">
        <v>9</v>
      </c>
      <c r="M187">
        <v>309.42</v>
      </c>
      <c r="N187">
        <v>0.3</v>
      </c>
      <c r="O187">
        <v>2784.78</v>
      </c>
      <c r="P187">
        <v>266.37</v>
      </c>
    </row>
    <row r="188" spans="1:16" x14ac:dyDescent="0.35">
      <c r="A188" t="s">
        <v>421</v>
      </c>
      <c r="B188" s="1">
        <v>45163</v>
      </c>
      <c r="C188" s="1">
        <v>45167</v>
      </c>
      <c r="D188" t="s">
        <v>17</v>
      </c>
      <c r="E188" t="s">
        <v>422</v>
      </c>
      <c r="F188" t="s">
        <v>35</v>
      </c>
      <c r="G188" t="s">
        <v>61</v>
      </c>
      <c r="H188" t="s">
        <v>62</v>
      </c>
      <c r="I188" t="s">
        <v>30</v>
      </c>
      <c r="J188" t="s">
        <v>99</v>
      </c>
      <c r="K188" t="s">
        <v>154</v>
      </c>
      <c r="L188">
        <v>12</v>
      </c>
      <c r="M188">
        <v>146.12</v>
      </c>
      <c r="N188">
        <v>0</v>
      </c>
      <c r="O188">
        <v>1753.44</v>
      </c>
      <c r="P188">
        <v>268.77</v>
      </c>
    </row>
    <row r="189" spans="1:16" x14ac:dyDescent="0.35">
      <c r="A189" t="s">
        <v>423</v>
      </c>
      <c r="B189" s="1">
        <v>44991</v>
      </c>
      <c r="C189" s="1">
        <v>44996</v>
      </c>
      <c r="D189" t="s">
        <v>59</v>
      </c>
      <c r="E189" t="s">
        <v>424</v>
      </c>
      <c r="F189" t="s">
        <v>19</v>
      </c>
      <c r="G189" t="s">
        <v>107</v>
      </c>
      <c r="H189" t="s">
        <v>46</v>
      </c>
      <c r="I189" t="s">
        <v>52</v>
      </c>
      <c r="J189" t="s">
        <v>194</v>
      </c>
      <c r="K189" t="s">
        <v>195</v>
      </c>
      <c r="L189">
        <v>10</v>
      </c>
      <c r="M189">
        <v>720.1</v>
      </c>
      <c r="N189">
        <v>0.15</v>
      </c>
      <c r="O189">
        <v>7201</v>
      </c>
      <c r="P189">
        <v>2238.89</v>
      </c>
    </row>
    <row r="190" spans="1:16" x14ac:dyDescent="0.35">
      <c r="A190" t="s">
        <v>425</v>
      </c>
      <c r="B190" s="1">
        <v>45377</v>
      </c>
      <c r="C190" s="1">
        <v>45381</v>
      </c>
      <c r="D190" t="s">
        <v>17</v>
      </c>
      <c r="E190" t="s">
        <v>225</v>
      </c>
      <c r="F190" t="s">
        <v>19</v>
      </c>
      <c r="G190" t="s">
        <v>20</v>
      </c>
      <c r="H190" t="s">
        <v>36</v>
      </c>
      <c r="I190" t="s">
        <v>22</v>
      </c>
      <c r="J190" t="s">
        <v>37</v>
      </c>
      <c r="K190" t="s">
        <v>144</v>
      </c>
      <c r="L190">
        <v>2</v>
      </c>
      <c r="M190">
        <v>655.74</v>
      </c>
      <c r="N190">
        <v>0</v>
      </c>
      <c r="O190">
        <v>1311.48</v>
      </c>
      <c r="P190">
        <v>85.64</v>
      </c>
    </row>
    <row r="191" spans="1:16" x14ac:dyDescent="0.35">
      <c r="A191" t="s">
        <v>426</v>
      </c>
      <c r="B191" s="1">
        <v>45225</v>
      </c>
      <c r="C191" s="1">
        <v>45232</v>
      </c>
      <c r="D191" t="s">
        <v>65</v>
      </c>
      <c r="E191" t="s">
        <v>415</v>
      </c>
      <c r="F191" t="s">
        <v>35</v>
      </c>
      <c r="G191" t="s">
        <v>103</v>
      </c>
      <c r="H191" t="s">
        <v>62</v>
      </c>
      <c r="I191" t="s">
        <v>52</v>
      </c>
      <c r="J191" t="s">
        <v>160</v>
      </c>
      <c r="K191" t="s">
        <v>234</v>
      </c>
      <c r="L191">
        <v>5</v>
      </c>
      <c r="M191">
        <v>230.59</v>
      </c>
      <c r="N191">
        <v>0.15</v>
      </c>
      <c r="O191">
        <v>1152.95</v>
      </c>
      <c r="P191">
        <v>-10.97</v>
      </c>
    </row>
    <row r="192" spans="1:16" x14ac:dyDescent="0.35">
      <c r="A192" t="s">
        <v>427</v>
      </c>
      <c r="B192" s="1">
        <v>45308</v>
      </c>
      <c r="C192" s="1">
        <v>45313</v>
      </c>
      <c r="D192" t="s">
        <v>44</v>
      </c>
      <c r="E192" t="s">
        <v>71</v>
      </c>
      <c r="F192" t="s">
        <v>19</v>
      </c>
      <c r="G192" t="s">
        <v>72</v>
      </c>
      <c r="H192" t="s">
        <v>62</v>
      </c>
      <c r="I192" t="s">
        <v>30</v>
      </c>
      <c r="J192" t="s">
        <v>47</v>
      </c>
      <c r="K192" t="s">
        <v>63</v>
      </c>
      <c r="L192">
        <v>10</v>
      </c>
      <c r="M192">
        <v>226.51</v>
      </c>
      <c r="N192">
        <v>0</v>
      </c>
      <c r="O192">
        <v>2265.1</v>
      </c>
      <c r="P192">
        <v>-198.63</v>
      </c>
    </row>
    <row r="193" spans="1:16" x14ac:dyDescent="0.35">
      <c r="A193" t="s">
        <v>428</v>
      </c>
      <c r="B193" s="1">
        <v>45329</v>
      </c>
      <c r="C193" s="1">
        <v>45331</v>
      </c>
      <c r="D193" t="s">
        <v>44</v>
      </c>
      <c r="E193" t="s">
        <v>135</v>
      </c>
      <c r="F193" t="s">
        <v>19</v>
      </c>
      <c r="G193" t="s">
        <v>111</v>
      </c>
      <c r="H193" t="s">
        <v>112</v>
      </c>
      <c r="I193" t="s">
        <v>22</v>
      </c>
      <c r="J193" t="s">
        <v>37</v>
      </c>
      <c r="K193" t="s">
        <v>38</v>
      </c>
      <c r="L193">
        <v>8</v>
      </c>
      <c r="M193">
        <v>645.28</v>
      </c>
      <c r="N193">
        <v>0</v>
      </c>
      <c r="O193">
        <v>5162.24</v>
      </c>
      <c r="P193">
        <v>-684.36</v>
      </c>
    </row>
    <row r="194" spans="1:16" x14ac:dyDescent="0.35">
      <c r="A194" t="s">
        <v>429</v>
      </c>
      <c r="B194" s="1">
        <v>45426</v>
      </c>
      <c r="C194" s="1">
        <v>45430</v>
      </c>
      <c r="D194" t="s">
        <v>59</v>
      </c>
      <c r="E194" t="s">
        <v>131</v>
      </c>
      <c r="F194" t="s">
        <v>27</v>
      </c>
      <c r="G194" t="s">
        <v>132</v>
      </c>
      <c r="H194" t="s">
        <v>112</v>
      </c>
      <c r="I194" t="s">
        <v>22</v>
      </c>
      <c r="J194" t="s">
        <v>74</v>
      </c>
      <c r="K194" t="s">
        <v>253</v>
      </c>
      <c r="L194">
        <v>10</v>
      </c>
      <c r="M194">
        <v>287.69</v>
      </c>
      <c r="N194">
        <v>0</v>
      </c>
      <c r="O194">
        <v>2876.9</v>
      </c>
      <c r="P194">
        <v>-46.25</v>
      </c>
    </row>
    <row r="195" spans="1:16" x14ac:dyDescent="0.35">
      <c r="A195" t="s">
        <v>430</v>
      </c>
      <c r="B195" s="1">
        <v>45268</v>
      </c>
      <c r="C195" s="1">
        <v>45270</v>
      </c>
      <c r="D195" t="s">
        <v>17</v>
      </c>
      <c r="E195" t="s">
        <v>410</v>
      </c>
      <c r="F195" t="s">
        <v>35</v>
      </c>
      <c r="G195" t="s">
        <v>132</v>
      </c>
      <c r="H195" t="s">
        <v>129</v>
      </c>
      <c r="I195" t="s">
        <v>52</v>
      </c>
      <c r="J195" t="s">
        <v>78</v>
      </c>
      <c r="K195" t="s">
        <v>96</v>
      </c>
      <c r="L195">
        <v>8</v>
      </c>
      <c r="M195">
        <v>506.94</v>
      </c>
      <c r="N195">
        <v>0</v>
      </c>
      <c r="O195">
        <v>4055.52</v>
      </c>
      <c r="P195">
        <v>1003.75</v>
      </c>
    </row>
    <row r="196" spans="1:16" x14ac:dyDescent="0.35">
      <c r="A196" t="s">
        <v>431</v>
      </c>
      <c r="B196" s="1">
        <v>45061</v>
      </c>
      <c r="C196" s="1">
        <v>45063</v>
      </c>
      <c r="D196" t="s">
        <v>44</v>
      </c>
      <c r="E196" t="s">
        <v>360</v>
      </c>
      <c r="F196" t="s">
        <v>19</v>
      </c>
      <c r="G196" t="s">
        <v>45</v>
      </c>
      <c r="H196" t="s">
        <v>83</v>
      </c>
      <c r="I196" t="s">
        <v>30</v>
      </c>
      <c r="J196" t="s">
        <v>41</v>
      </c>
      <c r="K196" t="s">
        <v>124</v>
      </c>
      <c r="L196">
        <v>11</v>
      </c>
      <c r="M196">
        <v>233.93</v>
      </c>
      <c r="N196">
        <v>0.15</v>
      </c>
      <c r="O196">
        <v>2573.23</v>
      </c>
      <c r="P196">
        <v>415.75</v>
      </c>
    </row>
    <row r="197" spans="1:16" x14ac:dyDescent="0.35">
      <c r="A197" t="s">
        <v>432</v>
      </c>
      <c r="B197" s="1">
        <v>45290</v>
      </c>
      <c r="C197" s="1">
        <v>45292</v>
      </c>
      <c r="D197" t="s">
        <v>44</v>
      </c>
      <c r="E197" t="s">
        <v>433</v>
      </c>
      <c r="F197" t="s">
        <v>35</v>
      </c>
      <c r="G197" t="s">
        <v>132</v>
      </c>
      <c r="H197" t="s">
        <v>129</v>
      </c>
      <c r="I197" t="s">
        <v>30</v>
      </c>
      <c r="J197" t="s">
        <v>99</v>
      </c>
      <c r="K197" t="s">
        <v>208</v>
      </c>
      <c r="L197">
        <v>4</v>
      </c>
      <c r="M197">
        <v>317.20999999999998</v>
      </c>
      <c r="N197">
        <v>0.2</v>
      </c>
      <c r="O197">
        <v>1268.8399999999999</v>
      </c>
      <c r="P197">
        <v>142.78</v>
      </c>
    </row>
    <row r="198" spans="1:16" x14ac:dyDescent="0.35">
      <c r="A198" t="s">
        <v>434</v>
      </c>
      <c r="B198" s="1">
        <v>45051</v>
      </c>
      <c r="C198" s="1">
        <v>45056</v>
      </c>
      <c r="D198" t="s">
        <v>59</v>
      </c>
      <c r="E198" t="s">
        <v>435</v>
      </c>
      <c r="F198" t="s">
        <v>35</v>
      </c>
      <c r="G198" t="s">
        <v>61</v>
      </c>
      <c r="H198" t="s">
        <v>62</v>
      </c>
      <c r="I198" t="s">
        <v>52</v>
      </c>
      <c r="J198" t="s">
        <v>194</v>
      </c>
      <c r="K198" t="s">
        <v>306</v>
      </c>
      <c r="L198">
        <v>12</v>
      </c>
      <c r="M198">
        <v>75.73</v>
      </c>
      <c r="N198">
        <v>0.1</v>
      </c>
      <c r="O198">
        <v>908.76</v>
      </c>
      <c r="P198">
        <v>161.75</v>
      </c>
    </row>
    <row r="199" spans="1:16" x14ac:dyDescent="0.35">
      <c r="A199" t="s">
        <v>436</v>
      </c>
      <c r="B199" s="1">
        <v>45325</v>
      </c>
      <c r="C199" s="1">
        <v>45327</v>
      </c>
      <c r="D199" t="s">
        <v>17</v>
      </c>
      <c r="E199" t="s">
        <v>437</v>
      </c>
      <c r="F199" t="s">
        <v>35</v>
      </c>
      <c r="G199" t="s">
        <v>132</v>
      </c>
      <c r="H199" t="s">
        <v>129</v>
      </c>
      <c r="I199" t="s">
        <v>22</v>
      </c>
      <c r="J199" t="s">
        <v>115</v>
      </c>
      <c r="K199" t="s">
        <v>133</v>
      </c>
      <c r="L199">
        <v>12</v>
      </c>
      <c r="M199">
        <v>870.19</v>
      </c>
      <c r="N199">
        <v>0.1</v>
      </c>
      <c r="O199">
        <v>10442.280000000001</v>
      </c>
      <c r="P199">
        <v>1871.28</v>
      </c>
    </row>
    <row r="200" spans="1:16" x14ac:dyDescent="0.35">
      <c r="A200" t="s">
        <v>438</v>
      </c>
      <c r="B200" s="1">
        <v>45453</v>
      </c>
      <c r="C200" s="1">
        <v>45454</v>
      </c>
      <c r="D200" t="s">
        <v>17</v>
      </c>
      <c r="E200" t="s">
        <v>163</v>
      </c>
      <c r="F200" t="s">
        <v>35</v>
      </c>
      <c r="G200" t="s">
        <v>111</v>
      </c>
      <c r="H200" t="s">
        <v>129</v>
      </c>
      <c r="I200" t="s">
        <v>52</v>
      </c>
      <c r="J200" t="s">
        <v>53</v>
      </c>
      <c r="K200" t="s">
        <v>91</v>
      </c>
      <c r="L200">
        <v>10</v>
      </c>
      <c r="M200">
        <v>762.18</v>
      </c>
      <c r="N200">
        <v>0</v>
      </c>
      <c r="O200">
        <v>7621.8</v>
      </c>
      <c r="P200">
        <v>116.47</v>
      </c>
    </row>
    <row r="201" spans="1:16" x14ac:dyDescent="0.35">
      <c r="A201" t="s">
        <v>439</v>
      </c>
      <c r="B201" s="1">
        <v>45164</v>
      </c>
      <c r="C201" s="1">
        <v>45167</v>
      </c>
      <c r="D201" t="s">
        <v>17</v>
      </c>
      <c r="E201" t="s">
        <v>213</v>
      </c>
      <c r="F201" t="s">
        <v>27</v>
      </c>
      <c r="G201" t="s">
        <v>128</v>
      </c>
      <c r="H201" t="s">
        <v>112</v>
      </c>
      <c r="I201" t="s">
        <v>22</v>
      </c>
      <c r="J201" t="s">
        <v>37</v>
      </c>
      <c r="K201" t="s">
        <v>144</v>
      </c>
      <c r="L201">
        <v>6</v>
      </c>
      <c r="M201">
        <v>682.78</v>
      </c>
      <c r="N201">
        <v>0</v>
      </c>
      <c r="O201">
        <v>4096.68</v>
      </c>
      <c r="P201">
        <v>-528.61</v>
      </c>
    </row>
    <row r="202" spans="1:16" x14ac:dyDescent="0.35">
      <c r="A202" t="s">
        <v>440</v>
      </c>
      <c r="B202" s="1">
        <v>45388</v>
      </c>
      <c r="C202" s="1">
        <v>45392</v>
      </c>
      <c r="D202" t="s">
        <v>65</v>
      </c>
      <c r="E202" t="s">
        <v>71</v>
      </c>
      <c r="F202" t="s">
        <v>35</v>
      </c>
      <c r="G202" t="s">
        <v>132</v>
      </c>
      <c r="H202" t="s">
        <v>129</v>
      </c>
      <c r="I202" t="s">
        <v>52</v>
      </c>
      <c r="J202" t="s">
        <v>68</v>
      </c>
      <c r="K202" t="s">
        <v>216</v>
      </c>
      <c r="L202">
        <v>3</v>
      </c>
      <c r="M202">
        <v>400.31</v>
      </c>
      <c r="N202">
        <v>0</v>
      </c>
      <c r="O202">
        <v>1200.93</v>
      </c>
      <c r="P202">
        <v>207.37</v>
      </c>
    </row>
    <row r="203" spans="1:16" x14ac:dyDescent="0.35">
      <c r="A203" t="s">
        <v>441</v>
      </c>
      <c r="B203" s="1">
        <v>45640</v>
      </c>
      <c r="C203" s="1">
        <v>45645</v>
      </c>
      <c r="D203" t="s">
        <v>17</v>
      </c>
      <c r="E203" t="s">
        <v>442</v>
      </c>
      <c r="F203" t="s">
        <v>35</v>
      </c>
      <c r="G203" t="s">
        <v>107</v>
      </c>
      <c r="H203" t="s">
        <v>46</v>
      </c>
      <c r="I203" t="s">
        <v>30</v>
      </c>
      <c r="J203" t="s">
        <v>41</v>
      </c>
      <c r="K203" t="s">
        <v>191</v>
      </c>
      <c r="L203">
        <v>9</v>
      </c>
      <c r="M203">
        <v>48.81</v>
      </c>
      <c r="N203">
        <v>0</v>
      </c>
      <c r="O203">
        <v>439.29</v>
      </c>
      <c r="P203">
        <v>-8.75</v>
      </c>
    </row>
    <row r="204" spans="1:16" x14ac:dyDescent="0.35">
      <c r="A204" t="s">
        <v>443</v>
      </c>
      <c r="B204" s="1">
        <v>45595</v>
      </c>
      <c r="C204" s="1">
        <v>45599</v>
      </c>
      <c r="D204" t="s">
        <v>59</v>
      </c>
      <c r="E204" t="s">
        <v>149</v>
      </c>
      <c r="F204" t="s">
        <v>35</v>
      </c>
      <c r="G204" t="s">
        <v>132</v>
      </c>
      <c r="H204" t="s">
        <v>112</v>
      </c>
      <c r="I204" t="s">
        <v>22</v>
      </c>
      <c r="J204" t="s">
        <v>74</v>
      </c>
      <c r="K204" t="s">
        <v>253</v>
      </c>
      <c r="L204">
        <v>10</v>
      </c>
      <c r="M204">
        <v>559.83000000000004</v>
      </c>
      <c r="N204">
        <v>0</v>
      </c>
      <c r="O204">
        <v>5598.3</v>
      </c>
      <c r="P204">
        <v>838.54</v>
      </c>
    </row>
    <row r="205" spans="1:16" x14ac:dyDescent="0.35">
      <c r="A205" t="s">
        <v>444</v>
      </c>
      <c r="B205" s="1">
        <v>45554</v>
      </c>
      <c r="C205" s="1">
        <v>45559</v>
      </c>
      <c r="D205" t="s">
        <v>17</v>
      </c>
      <c r="E205" t="s">
        <v>445</v>
      </c>
      <c r="F205" t="s">
        <v>35</v>
      </c>
      <c r="G205" t="s">
        <v>181</v>
      </c>
      <c r="H205" t="s">
        <v>46</v>
      </c>
      <c r="I205" t="s">
        <v>30</v>
      </c>
      <c r="J205" t="s">
        <v>99</v>
      </c>
      <c r="K205" t="s">
        <v>154</v>
      </c>
      <c r="L205">
        <v>7</v>
      </c>
      <c r="M205">
        <v>708.75</v>
      </c>
      <c r="N205">
        <v>0.2</v>
      </c>
      <c r="O205">
        <v>4961.25</v>
      </c>
      <c r="P205">
        <v>295.22000000000003</v>
      </c>
    </row>
    <row r="206" spans="1:16" x14ac:dyDescent="0.35">
      <c r="A206" t="s">
        <v>446</v>
      </c>
      <c r="B206" s="1">
        <v>45068</v>
      </c>
      <c r="C206" s="1">
        <v>45073</v>
      </c>
      <c r="D206" t="s">
        <v>59</v>
      </c>
      <c r="E206" t="s">
        <v>447</v>
      </c>
      <c r="F206" t="s">
        <v>35</v>
      </c>
      <c r="G206" t="s">
        <v>128</v>
      </c>
      <c r="H206" t="s">
        <v>129</v>
      </c>
      <c r="I206" t="s">
        <v>52</v>
      </c>
      <c r="J206" t="s">
        <v>68</v>
      </c>
      <c r="K206" t="s">
        <v>216</v>
      </c>
      <c r="L206">
        <v>7</v>
      </c>
      <c r="M206">
        <v>417.85</v>
      </c>
      <c r="N206">
        <v>0.15</v>
      </c>
      <c r="O206">
        <v>2924.95</v>
      </c>
      <c r="P206">
        <v>-400.1</v>
      </c>
    </row>
    <row r="207" spans="1:16" x14ac:dyDescent="0.35">
      <c r="A207" t="s">
        <v>448</v>
      </c>
      <c r="B207" s="1">
        <v>45387</v>
      </c>
      <c r="C207" s="1">
        <v>45392</v>
      </c>
      <c r="D207" t="s">
        <v>59</v>
      </c>
      <c r="E207" t="s">
        <v>285</v>
      </c>
      <c r="F207" t="s">
        <v>35</v>
      </c>
      <c r="G207" t="s">
        <v>51</v>
      </c>
      <c r="H207" t="s">
        <v>21</v>
      </c>
      <c r="I207" t="s">
        <v>30</v>
      </c>
      <c r="J207" t="s">
        <v>99</v>
      </c>
      <c r="K207" t="s">
        <v>100</v>
      </c>
      <c r="L207">
        <v>11</v>
      </c>
      <c r="M207">
        <v>100.17</v>
      </c>
      <c r="N207">
        <v>0.15</v>
      </c>
      <c r="O207">
        <v>1101.8699999999999</v>
      </c>
      <c r="P207">
        <v>-155.41</v>
      </c>
    </row>
    <row r="208" spans="1:16" x14ac:dyDescent="0.35">
      <c r="A208" t="s">
        <v>449</v>
      </c>
      <c r="B208" s="1">
        <v>45427</v>
      </c>
      <c r="C208" s="1">
        <v>45433</v>
      </c>
      <c r="D208" t="s">
        <v>44</v>
      </c>
      <c r="E208" t="s">
        <v>450</v>
      </c>
      <c r="F208" t="s">
        <v>19</v>
      </c>
      <c r="G208" t="s">
        <v>132</v>
      </c>
      <c r="H208" t="s">
        <v>112</v>
      </c>
      <c r="I208" t="s">
        <v>22</v>
      </c>
      <c r="J208" t="s">
        <v>115</v>
      </c>
      <c r="K208" t="s">
        <v>147</v>
      </c>
      <c r="L208">
        <v>8</v>
      </c>
      <c r="M208">
        <v>169.72</v>
      </c>
      <c r="N208">
        <v>0.15</v>
      </c>
      <c r="O208">
        <v>1357.76</v>
      </c>
      <c r="P208">
        <v>468.65</v>
      </c>
    </row>
    <row r="209" spans="1:16" x14ac:dyDescent="0.35">
      <c r="A209" t="s">
        <v>451</v>
      </c>
      <c r="B209" s="1">
        <v>45647</v>
      </c>
      <c r="C209" s="1">
        <v>45652</v>
      </c>
      <c r="D209" t="s">
        <v>17</v>
      </c>
      <c r="E209" t="s">
        <v>424</v>
      </c>
      <c r="F209" t="s">
        <v>27</v>
      </c>
      <c r="G209" t="s">
        <v>187</v>
      </c>
      <c r="H209" t="s">
        <v>159</v>
      </c>
      <c r="I209" t="s">
        <v>22</v>
      </c>
      <c r="J209" t="s">
        <v>37</v>
      </c>
      <c r="K209" t="s">
        <v>144</v>
      </c>
      <c r="L209">
        <v>-7</v>
      </c>
      <c r="M209">
        <v>841.5</v>
      </c>
      <c r="N209">
        <v>0.2</v>
      </c>
      <c r="O209">
        <v>5890.5</v>
      </c>
      <c r="P209">
        <v>962.39</v>
      </c>
    </row>
    <row r="210" spans="1:16" x14ac:dyDescent="0.35">
      <c r="A210" t="s">
        <v>452</v>
      </c>
      <c r="B210" s="1">
        <v>45067</v>
      </c>
      <c r="C210" s="1">
        <v>45068</v>
      </c>
      <c r="D210" t="s">
        <v>59</v>
      </c>
      <c r="E210" t="s">
        <v>453</v>
      </c>
      <c r="F210" t="s">
        <v>35</v>
      </c>
      <c r="G210" t="s">
        <v>51</v>
      </c>
      <c r="H210" t="s">
        <v>21</v>
      </c>
      <c r="I210" t="s">
        <v>22</v>
      </c>
      <c r="J210" t="s">
        <v>37</v>
      </c>
      <c r="K210" t="s">
        <v>144</v>
      </c>
      <c r="L210">
        <v>2</v>
      </c>
      <c r="M210">
        <v>22.01</v>
      </c>
      <c r="N210">
        <v>0</v>
      </c>
      <c r="O210">
        <v>44.02</v>
      </c>
      <c r="P210">
        <v>11.77</v>
      </c>
    </row>
    <row r="211" spans="1:16" x14ac:dyDescent="0.35">
      <c r="A211" t="s">
        <v>454</v>
      </c>
      <c r="B211" s="1">
        <v>45358</v>
      </c>
      <c r="C211" s="1">
        <v>45361</v>
      </c>
      <c r="D211" t="s">
        <v>44</v>
      </c>
      <c r="E211" t="s">
        <v>455</v>
      </c>
      <c r="F211" t="s">
        <v>27</v>
      </c>
      <c r="G211" t="s">
        <v>86</v>
      </c>
      <c r="H211" t="s">
        <v>159</v>
      </c>
      <c r="I211" t="s">
        <v>30</v>
      </c>
      <c r="J211" t="s">
        <v>99</v>
      </c>
      <c r="K211" t="s">
        <v>208</v>
      </c>
      <c r="L211">
        <v>8</v>
      </c>
      <c r="M211">
        <v>70.260000000000005</v>
      </c>
      <c r="N211">
        <v>0.15</v>
      </c>
      <c r="O211">
        <v>562.08000000000004</v>
      </c>
      <c r="P211">
        <v>169.84</v>
      </c>
    </row>
    <row r="212" spans="1:16" x14ac:dyDescent="0.35">
      <c r="A212" t="s">
        <v>456</v>
      </c>
      <c r="B212" s="1">
        <v>45374</v>
      </c>
      <c r="C212" s="1">
        <v>45376</v>
      </c>
      <c r="D212" t="s">
        <v>59</v>
      </c>
      <c r="E212" t="s">
        <v>457</v>
      </c>
      <c r="F212" t="s">
        <v>27</v>
      </c>
      <c r="G212" t="s">
        <v>107</v>
      </c>
      <c r="I212" t="s">
        <v>52</v>
      </c>
      <c r="J212" t="s">
        <v>78</v>
      </c>
      <c r="K212" t="s">
        <v>96</v>
      </c>
      <c r="L212">
        <v>10</v>
      </c>
      <c r="M212">
        <v>165.92</v>
      </c>
      <c r="N212">
        <v>0.15</v>
      </c>
      <c r="O212">
        <v>1659.2</v>
      </c>
      <c r="P212">
        <v>102.97</v>
      </c>
    </row>
    <row r="213" spans="1:16" x14ac:dyDescent="0.35">
      <c r="A213" t="s">
        <v>458</v>
      </c>
      <c r="B213" s="1">
        <v>45601</v>
      </c>
      <c r="C213" s="1">
        <v>45604</v>
      </c>
      <c r="D213" t="s">
        <v>17</v>
      </c>
      <c r="E213" t="s">
        <v>322</v>
      </c>
      <c r="F213" t="s">
        <v>19</v>
      </c>
      <c r="G213" t="s">
        <v>72</v>
      </c>
      <c r="H213" t="s">
        <v>62</v>
      </c>
      <c r="I213" t="s">
        <v>22</v>
      </c>
      <c r="J213" t="s">
        <v>115</v>
      </c>
      <c r="K213" t="s">
        <v>133</v>
      </c>
      <c r="L213">
        <v>7</v>
      </c>
      <c r="M213">
        <v>338.04</v>
      </c>
      <c r="N213">
        <v>0</v>
      </c>
      <c r="O213">
        <v>2366.2800000000002</v>
      </c>
      <c r="P213">
        <v>552.9</v>
      </c>
    </row>
    <row r="214" spans="1:16" x14ac:dyDescent="0.35">
      <c r="A214" t="s">
        <v>459</v>
      </c>
      <c r="B214" s="1">
        <v>45013</v>
      </c>
      <c r="C214" s="1">
        <v>45018</v>
      </c>
      <c r="D214" t="s">
        <v>59</v>
      </c>
      <c r="E214" t="s">
        <v>433</v>
      </c>
      <c r="F214" t="s">
        <v>27</v>
      </c>
      <c r="G214" t="s">
        <v>28</v>
      </c>
      <c r="H214" t="s">
        <v>159</v>
      </c>
      <c r="I214" t="s">
        <v>22</v>
      </c>
      <c r="J214" t="s">
        <v>37</v>
      </c>
      <c r="K214" t="s">
        <v>144</v>
      </c>
      <c r="L214">
        <v>10</v>
      </c>
      <c r="M214">
        <v>147.08000000000001</v>
      </c>
      <c r="O214">
        <v>1470.8</v>
      </c>
      <c r="P214">
        <v>454.43</v>
      </c>
    </row>
    <row r="215" spans="1:16" x14ac:dyDescent="0.35">
      <c r="A215" t="s">
        <v>460</v>
      </c>
      <c r="B215" s="1">
        <v>45320</v>
      </c>
      <c r="C215" s="1">
        <v>45324</v>
      </c>
      <c r="D215" t="s">
        <v>44</v>
      </c>
      <c r="E215" t="s">
        <v>461</v>
      </c>
      <c r="F215" t="s">
        <v>19</v>
      </c>
      <c r="G215" t="s">
        <v>111</v>
      </c>
      <c r="H215" t="s">
        <v>129</v>
      </c>
      <c r="I215" t="s">
        <v>22</v>
      </c>
      <c r="J215" t="s">
        <v>74</v>
      </c>
      <c r="K215" t="s">
        <v>75</v>
      </c>
      <c r="L215">
        <v>10</v>
      </c>
      <c r="M215">
        <v>177.27</v>
      </c>
      <c r="N215">
        <v>0</v>
      </c>
      <c r="O215">
        <v>1772.7</v>
      </c>
      <c r="P215">
        <v>-255.01</v>
      </c>
    </row>
    <row r="216" spans="1:16" x14ac:dyDescent="0.35">
      <c r="A216" t="s">
        <v>462</v>
      </c>
      <c r="B216" s="1">
        <v>45312</v>
      </c>
      <c r="C216" s="1">
        <v>45319</v>
      </c>
      <c r="D216" t="s">
        <v>17</v>
      </c>
      <c r="E216" t="s">
        <v>463</v>
      </c>
      <c r="F216" t="s">
        <v>35</v>
      </c>
      <c r="G216" t="s">
        <v>181</v>
      </c>
      <c r="H216" t="s">
        <v>123</v>
      </c>
      <c r="I216" t="s">
        <v>30</v>
      </c>
      <c r="J216" t="s">
        <v>41</v>
      </c>
      <c r="K216" t="s">
        <v>191</v>
      </c>
      <c r="L216">
        <v>8</v>
      </c>
      <c r="M216">
        <v>807.44</v>
      </c>
      <c r="N216">
        <v>0.3</v>
      </c>
      <c r="O216">
        <v>6459.52</v>
      </c>
      <c r="P216">
        <v>1641.04</v>
      </c>
    </row>
    <row r="217" spans="1:16" x14ac:dyDescent="0.35">
      <c r="A217" t="s">
        <v>464</v>
      </c>
      <c r="B217" s="1">
        <v>45501</v>
      </c>
      <c r="C217" s="1">
        <v>45505</v>
      </c>
      <c r="D217" t="s">
        <v>17</v>
      </c>
      <c r="E217" t="s">
        <v>465</v>
      </c>
      <c r="F217" t="s">
        <v>19</v>
      </c>
      <c r="G217" t="s">
        <v>61</v>
      </c>
      <c r="H217" t="s">
        <v>62</v>
      </c>
      <c r="I217" t="s">
        <v>52</v>
      </c>
      <c r="J217" t="s">
        <v>68</v>
      </c>
      <c r="K217" t="s">
        <v>108</v>
      </c>
      <c r="L217">
        <v>1</v>
      </c>
      <c r="M217">
        <v>173.33</v>
      </c>
      <c r="N217">
        <v>0</v>
      </c>
      <c r="O217">
        <v>173.33</v>
      </c>
      <c r="P217">
        <v>0.62</v>
      </c>
    </row>
    <row r="218" spans="1:16" x14ac:dyDescent="0.35">
      <c r="A218" t="s">
        <v>466</v>
      </c>
      <c r="B218" s="1">
        <v>45014</v>
      </c>
      <c r="C218" s="1">
        <v>45018</v>
      </c>
      <c r="D218" t="s">
        <v>17</v>
      </c>
      <c r="E218" t="s">
        <v>467</v>
      </c>
      <c r="F218" t="s">
        <v>35</v>
      </c>
      <c r="G218" t="s">
        <v>61</v>
      </c>
      <c r="H218" t="s">
        <v>73</v>
      </c>
      <c r="I218" t="s">
        <v>30</v>
      </c>
      <c r="J218" t="s">
        <v>31</v>
      </c>
      <c r="K218" t="s">
        <v>87</v>
      </c>
      <c r="L218">
        <v>7</v>
      </c>
      <c r="M218">
        <v>588.76</v>
      </c>
      <c r="N218">
        <v>0</v>
      </c>
      <c r="O218">
        <v>4121.32</v>
      </c>
      <c r="P218">
        <v>538.17999999999995</v>
      </c>
    </row>
    <row r="219" spans="1:16" x14ac:dyDescent="0.35">
      <c r="A219" t="s">
        <v>468</v>
      </c>
      <c r="B219" s="1">
        <v>45099</v>
      </c>
      <c r="C219" s="1">
        <v>45102</v>
      </c>
      <c r="D219" t="s">
        <v>44</v>
      </c>
      <c r="E219" t="s">
        <v>469</v>
      </c>
      <c r="F219" t="s">
        <v>35</v>
      </c>
      <c r="G219" t="s">
        <v>181</v>
      </c>
      <c r="H219" t="s">
        <v>123</v>
      </c>
      <c r="I219" t="s">
        <v>22</v>
      </c>
      <c r="J219" t="s">
        <v>115</v>
      </c>
      <c r="K219" t="s">
        <v>116</v>
      </c>
      <c r="L219">
        <v>9</v>
      </c>
      <c r="M219">
        <v>486.74</v>
      </c>
      <c r="N219">
        <v>0.1</v>
      </c>
      <c r="O219">
        <v>4380.66</v>
      </c>
      <c r="P219">
        <v>697.56</v>
      </c>
    </row>
    <row r="220" spans="1:16" x14ac:dyDescent="0.35">
      <c r="A220" t="s">
        <v>470</v>
      </c>
      <c r="B220" s="1">
        <v>45565</v>
      </c>
      <c r="C220" s="1">
        <v>45567</v>
      </c>
      <c r="D220" t="s">
        <v>44</v>
      </c>
      <c r="E220" t="s">
        <v>419</v>
      </c>
      <c r="F220" t="s">
        <v>35</v>
      </c>
      <c r="G220" t="s">
        <v>187</v>
      </c>
      <c r="H220" t="s">
        <v>29</v>
      </c>
      <c r="I220" t="s">
        <v>22</v>
      </c>
      <c r="J220" t="s">
        <v>37</v>
      </c>
      <c r="K220" t="s">
        <v>38</v>
      </c>
      <c r="L220">
        <v>1</v>
      </c>
      <c r="M220">
        <v>329.72</v>
      </c>
      <c r="N220">
        <v>0</v>
      </c>
      <c r="O220">
        <v>329.72</v>
      </c>
      <c r="P220">
        <v>9.5399999999999991</v>
      </c>
    </row>
    <row r="221" spans="1:16" x14ac:dyDescent="0.35">
      <c r="A221" t="s">
        <v>471</v>
      </c>
      <c r="B221" s="1">
        <v>45348</v>
      </c>
      <c r="C221" s="1">
        <v>45354</v>
      </c>
      <c r="D221" t="s">
        <v>59</v>
      </c>
      <c r="E221" t="s">
        <v>406</v>
      </c>
      <c r="F221" t="s">
        <v>27</v>
      </c>
      <c r="G221" t="s">
        <v>51</v>
      </c>
      <c r="H221" t="s">
        <v>21</v>
      </c>
      <c r="I221" t="s">
        <v>52</v>
      </c>
      <c r="J221" t="s">
        <v>160</v>
      </c>
      <c r="K221" t="s">
        <v>234</v>
      </c>
      <c r="L221">
        <v>10</v>
      </c>
      <c r="M221">
        <v>677.26</v>
      </c>
      <c r="N221">
        <v>0.15</v>
      </c>
      <c r="O221">
        <v>6772.6</v>
      </c>
      <c r="P221">
        <v>-472.9</v>
      </c>
    </row>
    <row r="222" spans="1:16" x14ac:dyDescent="0.35">
      <c r="A222" t="s">
        <v>92</v>
      </c>
      <c r="B222" s="1">
        <v>44974</v>
      </c>
      <c r="C222" s="1">
        <v>44975</v>
      </c>
      <c r="D222" t="s">
        <v>44</v>
      </c>
      <c r="E222" t="s">
        <v>93</v>
      </c>
      <c r="F222" t="s">
        <v>27</v>
      </c>
      <c r="G222" t="s">
        <v>67</v>
      </c>
      <c r="H222" t="s">
        <v>21</v>
      </c>
      <c r="I222" t="s">
        <v>30</v>
      </c>
      <c r="J222" t="s">
        <v>47</v>
      </c>
      <c r="K222" t="s">
        <v>94</v>
      </c>
      <c r="L222">
        <v>3</v>
      </c>
      <c r="M222">
        <v>678.27</v>
      </c>
      <c r="O222">
        <v>2034.81</v>
      </c>
      <c r="P222">
        <v>529.97</v>
      </c>
    </row>
    <row r="223" spans="1:16" x14ac:dyDescent="0.35">
      <c r="A223" t="s">
        <v>275</v>
      </c>
      <c r="B223" s="1">
        <v>45364</v>
      </c>
      <c r="C223" s="1">
        <v>45367</v>
      </c>
      <c r="D223" t="s">
        <v>65</v>
      </c>
      <c r="E223" t="s">
        <v>276</v>
      </c>
      <c r="F223" t="s">
        <v>27</v>
      </c>
      <c r="G223" t="s">
        <v>103</v>
      </c>
      <c r="H223" t="s">
        <v>73</v>
      </c>
      <c r="I223" t="s">
        <v>30</v>
      </c>
      <c r="J223" t="s">
        <v>41</v>
      </c>
      <c r="K223" t="s">
        <v>105</v>
      </c>
      <c r="L223">
        <v>8</v>
      </c>
      <c r="M223">
        <v>596.47</v>
      </c>
      <c r="N223">
        <v>0.15</v>
      </c>
      <c r="O223">
        <v>4771.76</v>
      </c>
      <c r="P223">
        <v>1223.54</v>
      </c>
    </row>
    <row r="224" spans="1:16" x14ac:dyDescent="0.35">
      <c r="A224" t="s">
        <v>472</v>
      </c>
      <c r="B224" s="1">
        <v>45079</v>
      </c>
      <c r="C224" s="1">
        <v>45086</v>
      </c>
      <c r="D224" t="s">
        <v>44</v>
      </c>
      <c r="E224" t="s">
        <v>310</v>
      </c>
      <c r="F224" t="s">
        <v>27</v>
      </c>
      <c r="G224" t="s">
        <v>111</v>
      </c>
      <c r="H224" t="s">
        <v>112</v>
      </c>
      <c r="I224" t="s">
        <v>22</v>
      </c>
      <c r="J224" t="s">
        <v>74</v>
      </c>
      <c r="K224" t="s">
        <v>75</v>
      </c>
      <c r="L224">
        <v>6</v>
      </c>
      <c r="M224">
        <v>616.30999999999995</v>
      </c>
      <c r="N224">
        <v>0.15</v>
      </c>
      <c r="O224">
        <v>3697.86</v>
      </c>
      <c r="P224">
        <v>403.97</v>
      </c>
    </row>
    <row r="225" spans="1:16" x14ac:dyDescent="0.35">
      <c r="A225" t="s">
        <v>473</v>
      </c>
      <c r="B225" s="1">
        <v>45328</v>
      </c>
      <c r="C225" s="1">
        <v>45333</v>
      </c>
      <c r="D225" t="s">
        <v>59</v>
      </c>
      <c r="E225" t="s">
        <v>474</v>
      </c>
      <c r="F225" t="s">
        <v>35</v>
      </c>
      <c r="G225" t="s">
        <v>67</v>
      </c>
      <c r="H225" t="s">
        <v>36</v>
      </c>
      <c r="I225" t="s">
        <v>52</v>
      </c>
      <c r="J225" t="s">
        <v>160</v>
      </c>
      <c r="K225" t="s">
        <v>234</v>
      </c>
      <c r="L225">
        <v>7</v>
      </c>
      <c r="M225">
        <v>872.58</v>
      </c>
      <c r="N225">
        <v>0</v>
      </c>
      <c r="O225">
        <v>6108.06</v>
      </c>
      <c r="P225">
        <v>-160.65</v>
      </c>
    </row>
    <row r="226" spans="1:16" x14ac:dyDescent="0.35">
      <c r="A226" t="s">
        <v>475</v>
      </c>
      <c r="B226" s="1">
        <v>45568</v>
      </c>
      <c r="C226" s="1">
        <v>45572</v>
      </c>
      <c r="D226" t="s">
        <v>44</v>
      </c>
      <c r="E226" t="s">
        <v>476</v>
      </c>
      <c r="F226" t="s">
        <v>27</v>
      </c>
      <c r="G226" t="s">
        <v>181</v>
      </c>
      <c r="H226" t="s">
        <v>83</v>
      </c>
      <c r="I226" t="s">
        <v>30</v>
      </c>
      <c r="J226" t="s">
        <v>41</v>
      </c>
      <c r="K226" t="s">
        <v>124</v>
      </c>
      <c r="L226">
        <v>2</v>
      </c>
      <c r="M226">
        <v>557.49</v>
      </c>
      <c r="N226">
        <v>0.1</v>
      </c>
      <c r="O226">
        <v>1114.98</v>
      </c>
      <c r="P226">
        <v>-37.29</v>
      </c>
    </row>
    <row r="227" spans="1:16" x14ac:dyDescent="0.35">
      <c r="A227" t="s">
        <v>477</v>
      </c>
      <c r="B227" s="1">
        <v>45019</v>
      </c>
      <c r="C227" s="1">
        <v>45021</v>
      </c>
      <c r="D227" t="s">
        <v>44</v>
      </c>
      <c r="E227" t="s">
        <v>478</v>
      </c>
      <c r="F227" t="s">
        <v>19</v>
      </c>
      <c r="G227" t="s">
        <v>67</v>
      </c>
      <c r="H227" t="s">
        <v>36</v>
      </c>
      <c r="I227" t="s">
        <v>52</v>
      </c>
      <c r="J227" t="s">
        <v>194</v>
      </c>
      <c r="K227" t="s">
        <v>195</v>
      </c>
      <c r="L227">
        <v>9</v>
      </c>
      <c r="M227">
        <v>515.36</v>
      </c>
      <c r="N227">
        <v>0</v>
      </c>
      <c r="O227">
        <v>4638.24</v>
      </c>
      <c r="P227">
        <v>1204.98</v>
      </c>
    </row>
    <row r="228" spans="1:16" x14ac:dyDescent="0.35">
      <c r="A228" t="s">
        <v>479</v>
      </c>
      <c r="B228" s="1">
        <v>45325</v>
      </c>
      <c r="C228" s="1">
        <v>45331</v>
      </c>
      <c r="D228" t="s">
        <v>59</v>
      </c>
      <c r="E228" t="s">
        <v>301</v>
      </c>
      <c r="F228" t="s">
        <v>27</v>
      </c>
      <c r="G228" t="s">
        <v>181</v>
      </c>
      <c r="H228" t="s">
        <v>123</v>
      </c>
      <c r="I228" t="s">
        <v>52</v>
      </c>
      <c r="J228" t="s">
        <v>53</v>
      </c>
      <c r="K228" t="s">
        <v>91</v>
      </c>
      <c r="L228">
        <v>5</v>
      </c>
      <c r="M228">
        <v>203.48</v>
      </c>
      <c r="N228">
        <v>0</v>
      </c>
      <c r="O228">
        <v>1017.4</v>
      </c>
      <c r="P228">
        <v>157.19999999999999</v>
      </c>
    </row>
    <row r="229" spans="1:16" x14ac:dyDescent="0.35">
      <c r="A229" t="s">
        <v>480</v>
      </c>
      <c r="B229" s="1">
        <v>45367</v>
      </c>
      <c r="C229" s="1">
        <v>45368</v>
      </c>
      <c r="D229" t="s">
        <v>17</v>
      </c>
      <c r="E229" t="s">
        <v>406</v>
      </c>
      <c r="F229" t="s">
        <v>27</v>
      </c>
      <c r="G229" t="s">
        <v>132</v>
      </c>
      <c r="H229" t="s">
        <v>129</v>
      </c>
      <c r="I229" t="s">
        <v>52</v>
      </c>
      <c r="J229" t="s">
        <v>78</v>
      </c>
      <c r="K229" t="s">
        <v>79</v>
      </c>
      <c r="L229">
        <v>3</v>
      </c>
      <c r="M229">
        <v>503.22</v>
      </c>
      <c r="N229">
        <v>0.3</v>
      </c>
      <c r="O229">
        <v>1509.66</v>
      </c>
      <c r="P229">
        <v>361.85</v>
      </c>
    </row>
    <row r="230" spans="1:16" x14ac:dyDescent="0.35">
      <c r="A230" t="s">
        <v>481</v>
      </c>
      <c r="B230" s="1">
        <v>45470</v>
      </c>
      <c r="C230" s="1">
        <v>45474</v>
      </c>
      <c r="D230" t="s">
        <v>44</v>
      </c>
      <c r="E230" t="s">
        <v>303</v>
      </c>
      <c r="F230" t="s">
        <v>27</v>
      </c>
      <c r="G230" t="s">
        <v>51</v>
      </c>
      <c r="H230" t="s">
        <v>21</v>
      </c>
      <c r="I230" t="s">
        <v>22</v>
      </c>
      <c r="J230" t="s">
        <v>74</v>
      </c>
      <c r="K230" t="s">
        <v>75</v>
      </c>
      <c r="L230">
        <v>3</v>
      </c>
      <c r="M230">
        <v>360.25</v>
      </c>
      <c r="N230">
        <v>0.1</v>
      </c>
      <c r="O230">
        <v>1080.75</v>
      </c>
      <c r="P230">
        <v>112.36</v>
      </c>
    </row>
    <row r="231" spans="1:16" x14ac:dyDescent="0.35">
      <c r="A231" t="s">
        <v>482</v>
      </c>
      <c r="B231" s="1">
        <v>45004</v>
      </c>
      <c r="C231" s="1">
        <v>45010</v>
      </c>
      <c r="D231" t="s">
        <v>44</v>
      </c>
      <c r="E231" t="s">
        <v>283</v>
      </c>
      <c r="F231" t="s">
        <v>27</v>
      </c>
      <c r="G231" t="s">
        <v>28</v>
      </c>
      <c r="H231" t="s">
        <v>29</v>
      </c>
      <c r="I231" t="s">
        <v>22</v>
      </c>
      <c r="J231" t="s">
        <v>23</v>
      </c>
      <c r="K231" t="s">
        <v>24</v>
      </c>
      <c r="L231">
        <v>5</v>
      </c>
      <c r="M231">
        <v>331.36</v>
      </c>
      <c r="N231">
        <v>0.3</v>
      </c>
      <c r="O231">
        <v>1656.8</v>
      </c>
      <c r="P231">
        <v>556.85</v>
      </c>
    </row>
    <row r="232" spans="1:16" x14ac:dyDescent="0.35">
      <c r="A232" t="s">
        <v>483</v>
      </c>
      <c r="B232" s="1">
        <v>45589</v>
      </c>
      <c r="C232" s="1">
        <v>45594</v>
      </c>
      <c r="D232" t="s">
        <v>65</v>
      </c>
      <c r="E232" t="s">
        <v>484</v>
      </c>
      <c r="F232" t="s">
        <v>35</v>
      </c>
      <c r="G232" t="s">
        <v>288</v>
      </c>
      <c r="H232" t="s">
        <v>129</v>
      </c>
      <c r="I232" t="s">
        <v>22</v>
      </c>
      <c r="J232" t="s">
        <v>74</v>
      </c>
      <c r="K232" t="s">
        <v>75</v>
      </c>
      <c r="L232">
        <v>11</v>
      </c>
      <c r="M232">
        <v>284.83</v>
      </c>
      <c r="N232">
        <v>0.15</v>
      </c>
      <c r="O232">
        <v>3133.13</v>
      </c>
      <c r="P232">
        <v>-385.68</v>
      </c>
    </row>
    <row r="233" spans="1:16" x14ac:dyDescent="0.35">
      <c r="A233" t="s">
        <v>485</v>
      </c>
      <c r="B233" s="1">
        <v>45575</v>
      </c>
      <c r="C233" s="1">
        <v>45577</v>
      </c>
      <c r="D233" t="s">
        <v>65</v>
      </c>
      <c r="E233" t="s">
        <v>486</v>
      </c>
      <c r="F233" t="s">
        <v>19</v>
      </c>
      <c r="G233" t="s">
        <v>86</v>
      </c>
      <c r="H233" t="s">
        <v>29</v>
      </c>
      <c r="I233" t="s">
        <v>52</v>
      </c>
      <c r="J233" t="s">
        <v>160</v>
      </c>
      <c r="K233" t="s">
        <v>161</v>
      </c>
      <c r="L233">
        <v>5</v>
      </c>
      <c r="M233">
        <v>103.5</v>
      </c>
      <c r="N233">
        <v>0</v>
      </c>
      <c r="O233">
        <v>517.5</v>
      </c>
      <c r="P233">
        <v>-5.03</v>
      </c>
    </row>
    <row r="234" spans="1:16" x14ac:dyDescent="0.35">
      <c r="A234" t="s">
        <v>487</v>
      </c>
      <c r="B234" s="1">
        <v>45386</v>
      </c>
      <c r="C234" s="1">
        <v>45392</v>
      </c>
      <c r="D234" t="s">
        <v>65</v>
      </c>
      <c r="E234" t="s">
        <v>397</v>
      </c>
      <c r="F234" t="s">
        <v>35</v>
      </c>
      <c r="G234" t="s">
        <v>332</v>
      </c>
      <c r="H234" t="s">
        <v>123</v>
      </c>
      <c r="I234" t="s">
        <v>52</v>
      </c>
      <c r="J234" t="s">
        <v>78</v>
      </c>
      <c r="K234" t="s">
        <v>96</v>
      </c>
      <c r="L234">
        <v>3</v>
      </c>
      <c r="M234">
        <v>541.24</v>
      </c>
      <c r="N234">
        <v>0.2</v>
      </c>
      <c r="O234">
        <v>1623.72</v>
      </c>
      <c r="P234">
        <v>541.91</v>
      </c>
    </row>
    <row r="235" spans="1:16" x14ac:dyDescent="0.35">
      <c r="A235" t="s">
        <v>488</v>
      </c>
      <c r="B235" s="1">
        <v>45003</v>
      </c>
      <c r="C235" s="1">
        <v>45008</v>
      </c>
      <c r="D235" t="s">
        <v>44</v>
      </c>
      <c r="E235" t="s">
        <v>139</v>
      </c>
      <c r="F235" t="s">
        <v>27</v>
      </c>
      <c r="G235" t="s">
        <v>72</v>
      </c>
      <c r="H235" t="s">
        <v>62</v>
      </c>
      <c r="I235" t="s">
        <v>52</v>
      </c>
      <c r="J235" t="s">
        <v>53</v>
      </c>
      <c r="K235" t="s">
        <v>54</v>
      </c>
      <c r="L235">
        <v>10</v>
      </c>
      <c r="M235">
        <v>426.53</v>
      </c>
      <c r="N235">
        <v>0</v>
      </c>
      <c r="O235">
        <v>4265.3</v>
      </c>
      <c r="P235">
        <v>753.32</v>
      </c>
    </row>
    <row r="236" spans="1:16" x14ac:dyDescent="0.35">
      <c r="A236" t="s">
        <v>489</v>
      </c>
      <c r="B236" s="1">
        <v>45168</v>
      </c>
      <c r="C236" s="1">
        <v>45172</v>
      </c>
      <c r="D236" t="s">
        <v>65</v>
      </c>
      <c r="E236" t="s">
        <v>233</v>
      </c>
      <c r="F236" t="s">
        <v>19</v>
      </c>
      <c r="G236" t="s">
        <v>132</v>
      </c>
      <c r="H236" t="s">
        <v>112</v>
      </c>
      <c r="I236" t="s">
        <v>52</v>
      </c>
      <c r="J236" t="s">
        <v>78</v>
      </c>
      <c r="K236" t="s">
        <v>198</v>
      </c>
      <c r="L236">
        <v>10</v>
      </c>
      <c r="M236">
        <v>725.05</v>
      </c>
      <c r="N236">
        <v>0</v>
      </c>
      <c r="O236">
        <v>7250.5</v>
      </c>
      <c r="P236">
        <v>-510.46</v>
      </c>
    </row>
    <row r="237" spans="1:16" x14ac:dyDescent="0.35">
      <c r="A237" t="s">
        <v>490</v>
      </c>
      <c r="B237" s="1">
        <v>45600</v>
      </c>
      <c r="C237" s="1">
        <v>45604</v>
      </c>
      <c r="D237" t="s">
        <v>44</v>
      </c>
      <c r="E237" t="s">
        <v>71</v>
      </c>
      <c r="F237" t="s">
        <v>19</v>
      </c>
      <c r="G237" t="s">
        <v>111</v>
      </c>
      <c r="H237" t="s">
        <v>112</v>
      </c>
      <c r="I237" t="s">
        <v>52</v>
      </c>
      <c r="J237" t="s">
        <v>53</v>
      </c>
      <c r="K237" t="s">
        <v>91</v>
      </c>
      <c r="L237">
        <v>12</v>
      </c>
      <c r="M237">
        <v>197.24</v>
      </c>
      <c r="N237">
        <v>0</v>
      </c>
      <c r="O237">
        <v>2366.88</v>
      </c>
      <c r="P237">
        <v>535.29999999999995</v>
      </c>
    </row>
    <row r="238" spans="1:16" x14ac:dyDescent="0.35">
      <c r="A238" t="s">
        <v>491</v>
      </c>
      <c r="B238" s="1">
        <v>45471</v>
      </c>
      <c r="C238" s="1">
        <v>45477</v>
      </c>
      <c r="D238" t="s">
        <v>65</v>
      </c>
      <c r="E238" t="s">
        <v>492</v>
      </c>
      <c r="F238" t="s">
        <v>35</v>
      </c>
      <c r="G238" t="s">
        <v>90</v>
      </c>
      <c r="H238" t="s">
        <v>62</v>
      </c>
      <c r="I238" t="s">
        <v>22</v>
      </c>
      <c r="J238" t="s">
        <v>115</v>
      </c>
      <c r="K238" t="s">
        <v>116</v>
      </c>
      <c r="L238">
        <v>8</v>
      </c>
      <c r="M238">
        <v>83.14</v>
      </c>
      <c r="N238">
        <v>0.1</v>
      </c>
      <c r="O238">
        <v>665.12</v>
      </c>
      <c r="P238">
        <v>198.85</v>
      </c>
    </row>
    <row r="239" spans="1:16" x14ac:dyDescent="0.35">
      <c r="A239" t="s">
        <v>493</v>
      </c>
      <c r="B239" s="1">
        <v>45194</v>
      </c>
      <c r="C239" s="1">
        <v>45197</v>
      </c>
      <c r="D239" t="s">
        <v>65</v>
      </c>
      <c r="E239" t="s">
        <v>263</v>
      </c>
      <c r="F239" t="s">
        <v>27</v>
      </c>
      <c r="G239" t="s">
        <v>211</v>
      </c>
      <c r="H239" t="s">
        <v>159</v>
      </c>
      <c r="I239" t="s">
        <v>30</v>
      </c>
      <c r="J239" t="s">
        <v>47</v>
      </c>
      <c r="K239" t="s">
        <v>63</v>
      </c>
      <c r="L239">
        <v>4</v>
      </c>
      <c r="M239">
        <v>113.02</v>
      </c>
      <c r="N239">
        <v>0</v>
      </c>
      <c r="O239">
        <v>452.08</v>
      </c>
      <c r="P239">
        <v>42.13</v>
      </c>
    </row>
    <row r="240" spans="1:16" x14ac:dyDescent="0.35">
      <c r="A240" t="s">
        <v>494</v>
      </c>
      <c r="B240" s="1">
        <v>45351</v>
      </c>
      <c r="C240" s="1">
        <v>45355</v>
      </c>
      <c r="D240" t="s">
        <v>65</v>
      </c>
      <c r="E240" t="s">
        <v>287</v>
      </c>
      <c r="F240" t="s">
        <v>35</v>
      </c>
      <c r="G240" t="s">
        <v>82</v>
      </c>
      <c r="H240" t="s">
        <v>46</v>
      </c>
      <c r="I240" t="s">
        <v>22</v>
      </c>
      <c r="J240" t="s">
        <v>23</v>
      </c>
      <c r="K240" t="s">
        <v>178</v>
      </c>
      <c r="L240">
        <v>5</v>
      </c>
      <c r="M240">
        <v>712.22</v>
      </c>
      <c r="N240">
        <v>0</v>
      </c>
      <c r="O240">
        <v>3561.1</v>
      </c>
      <c r="P240">
        <v>0.51</v>
      </c>
    </row>
    <row r="241" spans="1:16" x14ac:dyDescent="0.35">
      <c r="A241" t="s">
        <v>495</v>
      </c>
      <c r="B241" s="1">
        <v>45338</v>
      </c>
      <c r="C241" s="1">
        <v>45340</v>
      </c>
      <c r="D241" t="s">
        <v>44</v>
      </c>
      <c r="E241" t="s">
        <v>225</v>
      </c>
      <c r="F241" t="s">
        <v>19</v>
      </c>
      <c r="G241" t="s">
        <v>86</v>
      </c>
      <c r="H241" t="s">
        <v>159</v>
      </c>
      <c r="I241" t="s">
        <v>52</v>
      </c>
      <c r="J241" t="s">
        <v>78</v>
      </c>
      <c r="K241" t="s">
        <v>198</v>
      </c>
      <c r="L241">
        <v>1</v>
      </c>
      <c r="M241">
        <v>791.97</v>
      </c>
      <c r="N241">
        <v>0</v>
      </c>
      <c r="O241">
        <v>791.97</v>
      </c>
      <c r="P241">
        <v>270.07</v>
      </c>
    </row>
    <row r="242" spans="1:16" x14ac:dyDescent="0.35">
      <c r="A242" t="s">
        <v>496</v>
      </c>
      <c r="B242" s="1">
        <v>45515</v>
      </c>
      <c r="C242" s="1">
        <v>45516</v>
      </c>
      <c r="D242" t="s">
        <v>17</v>
      </c>
      <c r="E242" t="s">
        <v>497</v>
      </c>
      <c r="F242" t="s">
        <v>35</v>
      </c>
      <c r="G242" t="s">
        <v>86</v>
      </c>
      <c r="H242" t="s">
        <v>159</v>
      </c>
      <c r="I242" t="s">
        <v>52</v>
      </c>
      <c r="J242" t="s">
        <v>78</v>
      </c>
      <c r="K242" t="s">
        <v>96</v>
      </c>
      <c r="L242">
        <v>3</v>
      </c>
      <c r="M242">
        <v>790.77</v>
      </c>
      <c r="N242">
        <v>0.3</v>
      </c>
      <c r="O242">
        <v>2372.31</v>
      </c>
      <c r="P242">
        <v>298.08</v>
      </c>
    </row>
    <row r="243" spans="1:16" x14ac:dyDescent="0.35">
      <c r="A243" t="s">
        <v>498</v>
      </c>
      <c r="B243" s="1">
        <v>45292</v>
      </c>
      <c r="C243" s="1">
        <v>45295</v>
      </c>
      <c r="D243" t="s">
        <v>65</v>
      </c>
      <c r="E243" t="s">
        <v>379</v>
      </c>
      <c r="F243" t="s">
        <v>35</v>
      </c>
      <c r="G243" t="s">
        <v>28</v>
      </c>
      <c r="H243" t="s">
        <v>29</v>
      </c>
      <c r="I243" t="s">
        <v>22</v>
      </c>
      <c r="J243" t="s">
        <v>115</v>
      </c>
      <c r="K243" t="s">
        <v>147</v>
      </c>
      <c r="L243">
        <v>8</v>
      </c>
      <c r="M243">
        <v>201.99</v>
      </c>
      <c r="N243">
        <v>0.2</v>
      </c>
      <c r="O243">
        <v>1615.92</v>
      </c>
      <c r="P243">
        <v>416.17</v>
      </c>
    </row>
    <row r="244" spans="1:16" x14ac:dyDescent="0.35">
      <c r="A244" t="s">
        <v>499</v>
      </c>
      <c r="B244" s="1">
        <v>45438</v>
      </c>
      <c r="C244" s="1">
        <v>45441</v>
      </c>
      <c r="D244" t="s">
        <v>17</v>
      </c>
      <c r="E244" t="s">
        <v>500</v>
      </c>
      <c r="F244" t="s">
        <v>19</v>
      </c>
      <c r="G244" t="s">
        <v>86</v>
      </c>
      <c r="H244" t="s">
        <v>29</v>
      </c>
      <c r="I244" t="s">
        <v>22</v>
      </c>
      <c r="J244" t="s">
        <v>37</v>
      </c>
      <c r="K244" t="s">
        <v>38</v>
      </c>
      <c r="L244">
        <v>12</v>
      </c>
      <c r="M244">
        <v>74.37</v>
      </c>
      <c r="N244">
        <v>0</v>
      </c>
      <c r="O244">
        <v>892.44</v>
      </c>
      <c r="P244">
        <v>203.87</v>
      </c>
    </row>
    <row r="245" spans="1:16" x14ac:dyDescent="0.35">
      <c r="A245" t="s">
        <v>501</v>
      </c>
      <c r="B245" s="1">
        <v>45488</v>
      </c>
      <c r="C245" s="1">
        <v>45492</v>
      </c>
      <c r="D245" t="s">
        <v>59</v>
      </c>
      <c r="E245" t="s">
        <v>301</v>
      </c>
      <c r="F245" t="s">
        <v>19</v>
      </c>
      <c r="G245" t="s">
        <v>288</v>
      </c>
      <c r="H245" t="s">
        <v>112</v>
      </c>
      <c r="I245" t="s">
        <v>30</v>
      </c>
      <c r="J245" t="s">
        <v>99</v>
      </c>
      <c r="K245" t="s">
        <v>100</v>
      </c>
      <c r="L245">
        <v>5</v>
      </c>
      <c r="M245">
        <v>736.47</v>
      </c>
      <c r="N245">
        <v>0</v>
      </c>
      <c r="O245">
        <v>3682.35</v>
      </c>
      <c r="P245">
        <v>430.75</v>
      </c>
    </row>
    <row r="246" spans="1:16" x14ac:dyDescent="0.35">
      <c r="A246" t="s">
        <v>502</v>
      </c>
      <c r="B246" s="1">
        <v>45243</v>
      </c>
      <c r="C246" s="1">
        <v>45244</v>
      </c>
      <c r="E246" t="s">
        <v>503</v>
      </c>
      <c r="F246" t="s">
        <v>19</v>
      </c>
      <c r="G246" t="s">
        <v>51</v>
      </c>
      <c r="H246" t="s">
        <v>36</v>
      </c>
      <c r="I246" t="s">
        <v>22</v>
      </c>
      <c r="J246" t="s">
        <v>23</v>
      </c>
      <c r="K246" t="s">
        <v>24</v>
      </c>
      <c r="L246">
        <v>3</v>
      </c>
      <c r="M246">
        <v>633.88</v>
      </c>
      <c r="N246">
        <v>0</v>
      </c>
      <c r="O246">
        <v>1901.64</v>
      </c>
      <c r="P246">
        <v>29.78</v>
      </c>
    </row>
    <row r="247" spans="1:16" x14ac:dyDescent="0.35">
      <c r="A247" t="s">
        <v>504</v>
      </c>
      <c r="B247" s="1">
        <v>45462</v>
      </c>
      <c r="C247" s="1">
        <v>45463</v>
      </c>
      <c r="D247" t="s">
        <v>65</v>
      </c>
      <c r="E247" t="s">
        <v>505</v>
      </c>
      <c r="F247" t="s">
        <v>19</v>
      </c>
      <c r="G247" t="s">
        <v>45</v>
      </c>
      <c r="H247" t="s">
        <v>83</v>
      </c>
      <c r="I247" t="s">
        <v>52</v>
      </c>
      <c r="J247" t="s">
        <v>194</v>
      </c>
      <c r="K247" t="s">
        <v>195</v>
      </c>
      <c r="L247">
        <v>7</v>
      </c>
      <c r="M247">
        <v>55.7</v>
      </c>
      <c r="N247">
        <v>0</v>
      </c>
      <c r="O247">
        <v>389.9</v>
      </c>
      <c r="P247">
        <v>110.18</v>
      </c>
    </row>
    <row r="248" spans="1:16" x14ac:dyDescent="0.35">
      <c r="A248" t="s">
        <v>506</v>
      </c>
      <c r="B248" s="1">
        <v>45309</v>
      </c>
      <c r="C248" s="1">
        <v>45310</v>
      </c>
      <c r="D248" t="s">
        <v>17</v>
      </c>
      <c r="E248" t="s">
        <v>507</v>
      </c>
      <c r="F248" t="s">
        <v>35</v>
      </c>
      <c r="G248" t="s">
        <v>28</v>
      </c>
      <c r="H248" t="s">
        <v>159</v>
      </c>
      <c r="I248" t="s">
        <v>30</v>
      </c>
      <c r="J248" t="s">
        <v>47</v>
      </c>
      <c r="K248" t="s">
        <v>63</v>
      </c>
      <c r="L248">
        <v>10</v>
      </c>
      <c r="M248">
        <v>509.21</v>
      </c>
      <c r="N248">
        <v>0.3</v>
      </c>
      <c r="O248">
        <v>5092.1000000000004</v>
      </c>
      <c r="P248">
        <v>-587.15</v>
      </c>
    </row>
    <row r="249" spans="1:16" x14ac:dyDescent="0.35">
      <c r="A249" t="s">
        <v>508</v>
      </c>
      <c r="B249" s="1">
        <v>44960</v>
      </c>
      <c r="C249" s="1">
        <v>44966</v>
      </c>
      <c r="D249" t="s">
        <v>59</v>
      </c>
      <c r="E249" t="s">
        <v>141</v>
      </c>
      <c r="F249" t="s">
        <v>35</v>
      </c>
      <c r="G249" t="s">
        <v>103</v>
      </c>
      <c r="H249" t="s">
        <v>62</v>
      </c>
      <c r="I249" t="s">
        <v>22</v>
      </c>
      <c r="J249" t="s">
        <v>115</v>
      </c>
      <c r="K249" t="s">
        <v>147</v>
      </c>
      <c r="L249">
        <v>6</v>
      </c>
      <c r="M249">
        <v>277.11</v>
      </c>
      <c r="N249">
        <v>0.3</v>
      </c>
      <c r="O249">
        <v>1662.66</v>
      </c>
      <c r="P249">
        <v>12.75</v>
      </c>
    </row>
    <row r="250" spans="1:16" x14ac:dyDescent="0.35">
      <c r="A250" t="s">
        <v>509</v>
      </c>
      <c r="B250" s="1">
        <v>45523</v>
      </c>
      <c r="C250" s="1">
        <v>45527</v>
      </c>
      <c r="D250" t="s">
        <v>65</v>
      </c>
      <c r="E250" t="s">
        <v>510</v>
      </c>
      <c r="F250" t="s">
        <v>27</v>
      </c>
      <c r="G250" t="s">
        <v>82</v>
      </c>
      <c r="H250" t="s">
        <v>83</v>
      </c>
      <c r="I250" t="s">
        <v>30</v>
      </c>
      <c r="J250" t="s">
        <v>47</v>
      </c>
      <c r="K250" t="s">
        <v>48</v>
      </c>
      <c r="L250">
        <v>4</v>
      </c>
      <c r="M250">
        <v>141.27000000000001</v>
      </c>
      <c r="N250">
        <v>0</v>
      </c>
      <c r="O250">
        <v>565.08000000000004</v>
      </c>
      <c r="P250">
        <v>173.82</v>
      </c>
    </row>
    <row r="251" spans="1:16" x14ac:dyDescent="0.35">
      <c r="A251" t="s">
        <v>511</v>
      </c>
      <c r="B251" s="1">
        <v>45425</v>
      </c>
      <c r="C251" s="1">
        <v>45431</v>
      </c>
      <c r="D251" t="s">
        <v>59</v>
      </c>
      <c r="E251" t="s">
        <v>110</v>
      </c>
      <c r="F251" t="s">
        <v>19</v>
      </c>
      <c r="G251" t="s">
        <v>20</v>
      </c>
      <c r="H251" t="s">
        <v>36</v>
      </c>
      <c r="I251" t="s">
        <v>30</v>
      </c>
      <c r="J251" t="s">
        <v>99</v>
      </c>
      <c r="K251" t="s">
        <v>154</v>
      </c>
      <c r="L251">
        <v>3</v>
      </c>
      <c r="M251">
        <v>164.05</v>
      </c>
      <c r="N251">
        <v>0</v>
      </c>
      <c r="O251">
        <v>492.15</v>
      </c>
      <c r="P251">
        <v>159.65</v>
      </c>
    </row>
    <row r="252" spans="1:16" x14ac:dyDescent="0.35">
      <c r="A252" t="s">
        <v>512</v>
      </c>
      <c r="B252" s="1">
        <v>45384</v>
      </c>
      <c r="C252" s="1">
        <v>45391</v>
      </c>
      <c r="D252" t="s">
        <v>59</v>
      </c>
      <c r="E252" t="s">
        <v>265</v>
      </c>
      <c r="F252" t="s">
        <v>19</v>
      </c>
      <c r="G252" t="s">
        <v>51</v>
      </c>
      <c r="H252" t="s">
        <v>36</v>
      </c>
      <c r="I252" t="s">
        <v>22</v>
      </c>
      <c r="J252" t="s">
        <v>74</v>
      </c>
      <c r="K252" t="s">
        <v>75</v>
      </c>
      <c r="L252">
        <v>1</v>
      </c>
      <c r="M252">
        <v>602.66999999999996</v>
      </c>
      <c r="N252">
        <v>0.1</v>
      </c>
      <c r="O252">
        <v>602.66999999999996</v>
      </c>
      <c r="P252">
        <v>2.0499999999999998</v>
      </c>
    </row>
    <row r="253" spans="1:16" x14ac:dyDescent="0.35">
      <c r="A253" t="s">
        <v>513</v>
      </c>
      <c r="B253" s="1">
        <v>45248</v>
      </c>
      <c r="C253" s="1">
        <v>45254</v>
      </c>
      <c r="D253" t="s">
        <v>59</v>
      </c>
      <c r="E253" t="s">
        <v>26</v>
      </c>
      <c r="F253" t="s">
        <v>19</v>
      </c>
      <c r="G253" t="s">
        <v>45</v>
      </c>
      <c r="H253" t="s">
        <v>123</v>
      </c>
      <c r="I253" t="s">
        <v>30</v>
      </c>
      <c r="J253" t="s">
        <v>47</v>
      </c>
      <c r="K253" t="s">
        <v>63</v>
      </c>
      <c r="L253">
        <v>9</v>
      </c>
      <c r="M253">
        <v>51.93</v>
      </c>
      <c r="N253">
        <v>0.3</v>
      </c>
      <c r="O253">
        <v>467.37</v>
      </c>
      <c r="P253">
        <v>89.77</v>
      </c>
    </row>
    <row r="254" spans="1:16" x14ac:dyDescent="0.35">
      <c r="A254" t="s">
        <v>514</v>
      </c>
      <c r="B254" s="1">
        <v>45641</v>
      </c>
      <c r="C254" s="1">
        <v>45647</v>
      </c>
      <c r="D254" t="s">
        <v>59</v>
      </c>
      <c r="E254" t="s">
        <v>93</v>
      </c>
      <c r="F254" t="s">
        <v>35</v>
      </c>
      <c r="G254" t="s">
        <v>288</v>
      </c>
      <c r="H254" t="s">
        <v>112</v>
      </c>
      <c r="I254" t="s">
        <v>30</v>
      </c>
      <c r="J254" t="s">
        <v>99</v>
      </c>
      <c r="K254" t="s">
        <v>247</v>
      </c>
      <c r="L254">
        <v>9</v>
      </c>
      <c r="M254">
        <v>230.91</v>
      </c>
      <c r="N254">
        <v>0</v>
      </c>
      <c r="O254">
        <v>2078.19</v>
      </c>
      <c r="P254">
        <v>-33.950000000000003</v>
      </c>
    </row>
    <row r="255" spans="1:16" x14ac:dyDescent="0.35">
      <c r="A255" t="s">
        <v>515</v>
      </c>
      <c r="B255" s="1">
        <v>45213</v>
      </c>
      <c r="C255" s="1">
        <v>45217</v>
      </c>
      <c r="D255" t="s">
        <v>59</v>
      </c>
      <c r="E255" t="s">
        <v>331</v>
      </c>
      <c r="F255" t="s">
        <v>35</v>
      </c>
      <c r="G255" t="s">
        <v>28</v>
      </c>
      <c r="H255" t="s">
        <v>159</v>
      </c>
      <c r="I255" t="s">
        <v>22</v>
      </c>
      <c r="J255" t="s">
        <v>115</v>
      </c>
      <c r="K255" t="s">
        <v>133</v>
      </c>
      <c r="L255">
        <v>8</v>
      </c>
      <c r="M255">
        <v>59.58</v>
      </c>
      <c r="N255">
        <v>0</v>
      </c>
      <c r="O255">
        <v>476.64</v>
      </c>
      <c r="P255">
        <v>19.78</v>
      </c>
    </row>
    <row r="256" spans="1:16" x14ac:dyDescent="0.35">
      <c r="A256" t="s">
        <v>516</v>
      </c>
      <c r="B256" s="1">
        <v>45241</v>
      </c>
      <c r="C256" s="1">
        <v>45242</v>
      </c>
      <c r="D256" t="s">
        <v>59</v>
      </c>
      <c r="E256" t="s">
        <v>149</v>
      </c>
      <c r="F256" t="s">
        <v>35</v>
      </c>
      <c r="G256" t="s">
        <v>211</v>
      </c>
      <c r="H256" t="s">
        <v>159</v>
      </c>
      <c r="I256" t="s">
        <v>52</v>
      </c>
      <c r="J256" t="s">
        <v>160</v>
      </c>
      <c r="K256" t="s">
        <v>161</v>
      </c>
      <c r="L256">
        <v>11</v>
      </c>
      <c r="M256">
        <v>502.04</v>
      </c>
      <c r="N256">
        <v>0.3</v>
      </c>
      <c r="O256">
        <v>5522.44</v>
      </c>
      <c r="P256">
        <v>205.04</v>
      </c>
    </row>
    <row r="257" spans="1:16" x14ac:dyDescent="0.35">
      <c r="A257" t="s">
        <v>266</v>
      </c>
      <c r="B257" s="1">
        <v>45169</v>
      </c>
      <c r="C257" s="1">
        <v>45173</v>
      </c>
      <c r="D257" t="s">
        <v>44</v>
      </c>
      <c r="E257" t="s">
        <v>267</v>
      </c>
      <c r="F257" t="s">
        <v>19</v>
      </c>
      <c r="G257" t="s">
        <v>90</v>
      </c>
      <c r="H257" t="s">
        <v>62</v>
      </c>
      <c r="I257" t="s">
        <v>22</v>
      </c>
      <c r="J257" t="s">
        <v>115</v>
      </c>
      <c r="K257" t="s">
        <v>147</v>
      </c>
      <c r="L257">
        <v>1</v>
      </c>
      <c r="M257">
        <v>511.51</v>
      </c>
      <c r="N257">
        <v>0.2</v>
      </c>
      <c r="O257">
        <v>511.51</v>
      </c>
      <c r="P257">
        <v>122.33</v>
      </c>
    </row>
    <row r="258" spans="1:16" x14ac:dyDescent="0.35">
      <c r="A258" t="s">
        <v>517</v>
      </c>
      <c r="B258" s="1">
        <v>45283</v>
      </c>
      <c r="C258" s="1">
        <v>45289</v>
      </c>
      <c r="D258" t="s">
        <v>17</v>
      </c>
      <c r="E258" t="s">
        <v>518</v>
      </c>
      <c r="F258" t="s">
        <v>35</v>
      </c>
      <c r="G258" t="s">
        <v>72</v>
      </c>
      <c r="H258" t="s">
        <v>62</v>
      </c>
      <c r="I258" t="s">
        <v>52</v>
      </c>
      <c r="J258" t="s">
        <v>53</v>
      </c>
      <c r="K258" t="s">
        <v>54</v>
      </c>
      <c r="L258">
        <v>8</v>
      </c>
      <c r="M258">
        <v>449.93</v>
      </c>
      <c r="N258">
        <v>0.1</v>
      </c>
      <c r="O258">
        <v>3599.44</v>
      </c>
      <c r="P258">
        <v>-423.55</v>
      </c>
    </row>
    <row r="259" spans="1:16" x14ac:dyDescent="0.35">
      <c r="A259" t="s">
        <v>519</v>
      </c>
      <c r="B259" s="1">
        <v>45157</v>
      </c>
      <c r="C259" s="1">
        <v>45160</v>
      </c>
      <c r="D259" t="s">
        <v>59</v>
      </c>
      <c r="E259" t="s">
        <v>373</v>
      </c>
      <c r="F259" t="s">
        <v>19</v>
      </c>
      <c r="G259" t="s">
        <v>51</v>
      </c>
      <c r="H259" t="s">
        <v>36</v>
      </c>
      <c r="I259" t="s">
        <v>52</v>
      </c>
      <c r="J259" t="s">
        <v>160</v>
      </c>
      <c r="K259" t="s">
        <v>234</v>
      </c>
      <c r="L259">
        <v>8</v>
      </c>
      <c r="M259">
        <v>440.17</v>
      </c>
      <c r="N259">
        <v>0.15</v>
      </c>
      <c r="O259">
        <v>3521.36</v>
      </c>
      <c r="P259">
        <v>932.39</v>
      </c>
    </row>
    <row r="260" spans="1:16" x14ac:dyDescent="0.35">
      <c r="A260" t="s">
        <v>520</v>
      </c>
      <c r="B260" s="1">
        <v>45093</v>
      </c>
      <c r="C260" s="1">
        <v>45098</v>
      </c>
      <c r="D260" t="s">
        <v>17</v>
      </c>
      <c r="E260" t="s">
        <v>521</v>
      </c>
      <c r="F260" t="s">
        <v>35</v>
      </c>
      <c r="G260" t="s">
        <v>187</v>
      </c>
      <c r="H260" t="s">
        <v>29</v>
      </c>
      <c r="I260" t="s">
        <v>52</v>
      </c>
      <c r="J260" t="s">
        <v>194</v>
      </c>
      <c r="K260" t="s">
        <v>195</v>
      </c>
      <c r="L260">
        <v>12</v>
      </c>
      <c r="M260">
        <v>877.02</v>
      </c>
      <c r="N260">
        <v>0</v>
      </c>
      <c r="O260">
        <v>10524.24</v>
      </c>
      <c r="P260">
        <v>-1064.5999999999999</v>
      </c>
    </row>
    <row r="261" spans="1:16" x14ac:dyDescent="0.35">
      <c r="A261" t="s">
        <v>522</v>
      </c>
      <c r="B261" s="1">
        <v>45449</v>
      </c>
      <c r="C261" s="1">
        <v>45454</v>
      </c>
      <c r="D261" t="s">
        <v>59</v>
      </c>
      <c r="E261" t="s">
        <v>523</v>
      </c>
      <c r="F261" t="s">
        <v>27</v>
      </c>
      <c r="G261" t="s">
        <v>211</v>
      </c>
      <c r="H261" t="s">
        <v>159</v>
      </c>
      <c r="I261" t="s">
        <v>52</v>
      </c>
      <c r="J261" t="s">
        <v>194</v>
      </c>
      <c r="K261" t="s">
        <v>195</v>
      </c>
      <c r="L261">
        <v>2</v>
      </c>
      <c r="M261">
        <v>897.15</v>
      </c>
      <c r="N261">
        <v>0.3</v>
      </c>
      <c r="O261">
        <v>1794.3</v>
      </c>
      <c r="P261">
        <v>89.21</v>
      </c>
    </row>
    <row r="262" spans="1:16" x14ac:dyDescent="0.35">
      <c r="A262" t="s">
        <v>524</v>
      </c>
      <c r="B262" s="1">
        <v>45309</v>
      </c>
      <c r="C262" s="1">
        <v>45313</v>
      </c>
      <c r="D262" t="s">
        <v>44</v>
      </c>
      <c r="E262" t="s">
        <v>118</v>
      </c>
      <c r="F262" t="s">
        <v>19</v>
      </c>
      <c r="G262" t="s">
        <v>288</v>
      </c>
      <c r="H262" t="s">
        <v>112</v>
      </c>
      <c r="I262" t="s">
        <v>52</v>
      </c>
      <c r="J262" t="s">
        <v>160</v>
      </c>
      <c r="K262" t="s">
        <v>161</v>
      </c>
      <c r="L262">
        <v>7</v>
      </c>
      <c r="M262">
        <v>344.44</v>
      </c>
      <c r="N262">
        <v>0.15</v>
      </c>
      <c r="O262">
        <v>2411.08</v>
      </c>
      <c r="P262">
        <v>212.18</v>
      </c>
    </row>
    <row r="263" spans="1:16" x14ac:dyDescent="0.35">
      <c r="A263" t="s">
        <v>525</v>
      </c>
      <c r="B263" s="1">
        <v>45265</v>
      </c>
      <c r="C263" s="1">
        <v>45271</v>
      </c>
      <c r="D263" t="s">
        <v>17</v>
      </c>
      <c r="E263" t="s">
        <v>274</v>
      </c>
      <c r="F263" t="s">
        <v>19</v>
      </c>
      <c r="G263" t="s">
        <v>332</v>
      </c>
      <c r="H263" t="s">
        <v>83</v>
      </c>
      <c r="I263" t="s">
        <v>52</v>
      </c>
      <c r="J263" t="s">
        <v>78</v>
      </c>
      <c r="K263" t="s">
        <v>198</v>
      </c>
      <c r="L263">
        <v>11</v>
      </c>
      <c r="M263">
        <v>750.86</v>
      </c>
      <c r="N263">
        <v>0</v>
      </c>
      <c r="O263">
        <v>8259.4599999999991</v>
      </c>
      <c r="P263">
        <v>-232.63</v>
      </c>
    </row>
    <row r="264" spans="1:16" x14ac:dyDescent="0.35">
      <c r="A264" t="s">
        <v>526</v>
      </c>
      <c r="B264" s="1">
        <v>45603</v>
      </c>
      <c r="C264" s="1">
        <v>45610</v>
      </c>
      <c r="D264" t="s">
        <v>44</v>
      </c>
      <c r="E264" t="s">
        <v>167</v>
      </c>
      <c r="F264" t="s">
        <v>35</v>
      </c>
      <c r="G264" t="s">
        <v>61</v>
      </c>
      <c r="H264" t="s">
        <v>62</v>
      </c>
      <c r="I264" t="s">
        <v>30</v>
      </c>
      <c r="J264" t="s">
        <v>47</v>
      </c>
      <c r="K264" t="s">
        <v>48</v>
      </c>
      <c r="L264">
        <v>9</v>
      </c>
      <c r="M264">
        <v>239.19</v>
      </c>
      <c r="N264">
        <v>0</v>
      </c>
      <c r="O264">
        <v>2152.71</v>
      </c>
      <c r="P264">
        <v>548.38</v>
      </c>
    </row>
    <row r="265" spans="1:16" x14ac:dyDescent="0.35">
      <c r="A265" t="s">
        <v>527</v>
      </c>
      <c r="B265" s="1">
        <v>45633</v>
      </c>
      <c r="C265" s="1">
        <v>45640</v>
      </c>
      <c r="D265" t="s">
        <v>65</v>
      </c>
      <c r="E265" t="s">
        <v>207</v>
      </c>
      <c r="F265" t="s">
        <v>27</v>
      </c>
      <c r="G265" t="s">
        <v>67</v>
      </c>
      <c r="H265" t="s">
        <v>21</v>
      </c>
      <c r="I265" t="s">
        <v>30</v>
      </c>
      <c r="J265" t="s">
        <v>41</v>
      </c>
      <c r="K265" t="s">
        <v>105</v>
      </c>
      <c r="L265">
        <v>3</v>
      </c>
      <c r="M265">
        <v>242.16</v>
      </c>
      <c r="N265">
        <v>0.15</v>
      </c>
      <c r="O265">
        <v>726.48</v>
      </c>
      <c r="P265">
        <v>-18.21</v>
      </c>
    </row>
    <row r="266" spans="1:16" x14ac:dyDescent="0.35">
      <c r="A266" t="s">
        <v>528</v>
      </c>
      <c r="B266" s="1">
        <v>45363</v>
      </c>
      <c r="C266" s="1">
        <v>45370</v>
      </c>
      <c r="D266" t="s">
        <v>44</v>
      </c>
      <c r="E266" t="s">
        <v>213</v>
      </c>
      <c r="F266" t="s">
        <v>27</v>
      </c>
      <c r="G266" t="s">
        <v>211</v>
      </c>
      <c r="H266" t="s">
        <v>159</v>
      </c>
      <c r="I266" t="s">
        <v>22</v>
      </c>
      <c r="J266" t="s">
        <v>23</v>
      </c>
      <c r="K266" t="s">
        <v>289</v>
      </c>
      <c r="L266">
        <v>1</v>
      </c>
      <c r="M266">
        <v>307.93</v>
      </c>
      <c r="N266">
        <v>0.15</v>
      </c>
      <c r="O266">
        <v>307.93</v>
      </c>
      <c r="P266">
        <v>69.33</v>
      </c>
    </row>
    <row r="267" spans="1:16" x14ac:dyDescent="0.35">
      <c r="A267" t="s">
        <v>529</v>
      </c>
      <c r="B267" s="1">
        <v>45542</v>
      </c>
      <c r="C267" s="1">
        <v>45545</v>
      </c>
      <c r="D267" t="s">
        <v>17</v>
      </c>
      <c r="E267" t="s">
        <v>60</v>
      </c>
      <c r="F267" t="s">
        <v>27</v>
      </c>
      <c r="H267" t="s">
        <v>112</v>
      </c>
      <c r="I267" t="s">
        <v>30</v>
      </c>
      <c r="J267" t="s">
        <v>99</v>
      </c>
      <c r="K267" t="s">
        <v>154</v>
      </c>
      <c r="L267">
        <v>1</v>
      </c>
      <c r="M267">
        <v>351.64</v>
      </c>
      <c r="N267">
        <v>0.2</v>
      </c>
      <c r="O267">
        <v>351.64</v>
      </c>
      <c r="P267">
        <v>89.11</v>
      </c>
    </row>
    <row r="268" spans="1:16" x14ac:dyDescent="0.35">
      <c r="A268" t="s">
        <v>530</v>
      </c>
      <c r="B268" s="1">
        <v>45533</v>
      </c>
      <c r="C268" s="1">
        <v>45539</v>
      </c>
      <c r="D268" t="s">
        <v>65</v>
      </c>
      <c r="E268" t="s">
        <v>326</v>
      </c>
      <c r="F268" t="s">
        <v>35</v>
      </c>
      <c r="G268" t="s">
        <v>28</v>
      </c>
      <c r="H268" t="s">
        <v>29</v>
      </c>
      <c r="I268" t="s">
        <v>22</v>
      </c>
      <c r="J268" t="s">
        <v>74</v>
      </c>
      <c r="K268" t="s">
        <v>253</v>
      </c>
      <c r="L268">
        <v>9</v>
      </c>
      <c r="M268">
        <v>388.4</v>
      </c>
      <c r="N268">
        <v>0</v>
      </c>
      <c r="O268">
        <v>3495.6</v>
      </c>
      <c r="P268">
        <v>-403.82</v>
      </c>
    </row>
    <row r="269" spans="1:16" x14ac:dyDescent="0.35">
      <c r="A269" t="s">
        <v>531</v>
      </c>
      <c r="B269" s="1">
        <v>45486</v>
      </c>
      <c r="C269" s="1">
        <v>45492</v>
      </c>
      <c r="D269" t="s">
        <v>65</v>
      </c>
      <c r="E269" t="s">
        <v>395</v>
      </c>
      <c r="F269" t="s">
        <v>35</v>
      </c>
      <c r="G269" t="s">
        <v>332</v>
      </c>
      <c r="H269" t="s">
        <v>123</v>
      </c>
      <c r="I269" t="s">
        <v>22</v>
      </c>
      <c r="J269" t="s">
        <v>74</v>
      </c>
      <c r="K269" t="s">
        <v>75</v>
      </c>
      <c r="L269">
        <v>6</v>
      </c>
      <c r="M269">
        <v>431.74</v>
      </c>
      <c r="N269">
        <v>0</v>
      </c>
      <c r="O269">
        <v>2590.44</v>
      </c>
      <c r="P269">
        <v>444.03</v>
      </c>
    </row>
    <row r="270" spans="1:16" x14ac:dyDescent="0.35">
      <c r="A270" t="s">
        <v>532</v>
      </c>
      <c r="B270" s="1">
        <v>45636</v>
      </c>
      <c r="C270" s="1">
        <v>45638</v>
      </c>
      <c r="D270" t="s">
        <v>17</v>
      </c>
      <c r="E270" t="s">
        <v>533</v>
      </c>
      <c r="F270" t="s">
        <v>19</v>
      </c>
      <c r="G270" t="s">
        <v>67</v>
      </c>
      <c r="H270" t="s">
        <v>21</v>
      </c>
      <c r="I270" t="s">
        <v>22</v>
      </c>
      <c r="J270" t="s">
        <v>23</v>
      </c>
      <c r="K270" t="s">
        <v>178</v>
      </c>
      <c r="L270">
        <v>9</v>
      </c>
      <c r="M270">
        <v>285.57</v>
      </c>
      <c r="N270">
        <v>0.3</v>
      </c>
      <c r="O270">
        <v>2570.13</v>
      </c>
      <c r="P270">
        <v>676.32</v>
      </c>
    </row>
    <row r="271" spans="1:16" x14ac:dyDescent="0.35">
      <c r="A271" t="s">
        <v>534</v>
      </c>
      <c r="B271" s="1">
        <v>44979</v>
      </c>
      <c r="C271" s="1">
        <v>44984</v>
      </c>
      <c r="D271" t="s">
        <v>44</v>
      </c>
      <c r="E271" t="s">
        <v>535</v>
      </c>
      <c r="F271" t="s">
        <v>35</v>
      </c>
      <c r="G271" t="s">
        <v>72</v>
      </c>
      <c r="H271" t="s">
        <v>62</v>
      </c>
      <c r="I271" t="s">
        <v>22</v>
      </c>
      <c r="J271" t="s">
        <v>115</v>
      </c>
      <c r="K271" t="s">
        <v>147</v>
      </c>
      <c r="L271">
        <v>8</v>
      </c>
      <c r="M271">
        <v>689.14</v>
      </c>
      <c r="N271">
        <v>0</v>
      </c>
      <c r="O271">
        <v>5513.12</v>
      </c>
      <c r="P271">
        <v>1448.05</v>
      </c>
    </row>
    <row r="272" spans="1:16" x14ac:dyDescent="0.35">
      <c r="A272" t="s">
        <v>536</v>
      </c>
      <c r="B272" s="1">
        <v>45425</v>
      </c>
      <c r="C272" s="1">
        <v>45428</v>
      </c>
      <c r="D272" t="s">
        <v>65</v>
      </c>
      <c r="E272" t="s">
        <v>93</v>
      </c>
      <c r="F272" t="s">
        <v>27</v>
      </c>
      <c r="G272" t="s">
        <v>103</v>
      </c>
      <c r="H272" t="s">
        <v>62</v>
      </c>
      <c r="I272" t="s">
        <v>30</v>
      </c>
      <c r="J272" t="s">
        <v>31</v>
      </c>
      <c r="K272" t="s">
        <v>87</v>
      </c>
      <c r="L272">
        <v>11</v>
      </c>
      <c r="M272">
        <v>554.9</v>
      </c>
      <c r="N272">
        <v>0.1</v>
      </c>
      <c r="O272">
        <v>6103.9</v>
      </c>
      <c r="P272">
        <v>2112.67</v>
      </c>
    </row>
    <row r="273" spans="1:16" x14ac:dyDescent="0.35">
      <c r="A273" t="s">
        <v>537</v>
      </c>
      <c r="B273" s="1">
        <v>45096</v>
      </c>
      <c r="C273" s="1">
        <v>45103</v>
      </c>
      <c r="D273" t="s">
        <v>59</v>
      </c>
      <c r="E273" t="s">
        <v>408</v>
      </c>
      <c r="F273" t="s">
        <v>27</v>
      </c>
      <c r="G273" t="s">
        <v>288</v>
      </c>
      <c r="H273" t="s">
        <v>112</v>
      </c>
      <c r="I273" t="s">
        <v>52</v>
      </c>
      <c r="J273" t="s">
        <v>53</v>
      </c>
      <c r="K273" t="s">
        <v>54</v>
      </c>
      <c r="L273">
        <v>3</v>
      </c>
      <c r="M273">
        <v>780.83</v>
      </c>
      <c r="N273">
        <v>0</v>
      </c>
      <c r="O273">
        <v>2342.4899999999998</v>
      </c>
      <c r="P273">
        <v>-292.48</v>
      </c>
    </row>
    <row r="274" spans="1:16" x14ac:dyDescent="0.35">
      <c r="A274" t="s">
        <v>538</v>
      </c>
      <c r="B274" s="1">
        <v>45498</v>
      </c>
      <c r="C274" s="1">
        <v>45499</v>
      </c>
      <c r="D274" t="s">
        <v>65</v>
      </c>
      <c r="E274" t="s">
        <v>239</v>
      </c>
      <c r="F274" t="s">
        <v>27</v>
      </c>
      <c r="G274" t="s">
        <v>51</v>
      </c>
      <c r="H274" t="s">
        <v>36</v>
      </c>
      <c r="I274" t="s">
        <v>52</v>
      </c>
      <c r="J274" t="s">
        <v>78</v>
      </c>
      <c r="K274" t="s">
        <v>198</v>
      </c>
      <c r="L274">
        <v>4</v>
      </c>
      <c r="M274">
        <v>481.36</v>
      </c>
      <c r="N274">
        <v>0</v>
      </c>
      <c r="O274">
        <v>1925.44</v>
      </c>
      <c r="P274">
        <v>359.08</v>
      </c>
    </row>
    <row r="275" spans="1:16" x14ac:dyDescent="0.35">
      <c r="A275" t="s">
        <v>539</v>
      </c>
      <c r="B275" s="1">
        <v>45482</v>
      </c>
      <c r="C275" s="1">
        <v>45485</v>
      </c>
      <c r="D275" t="s">
        <v>44</v>
      </c>
      <c r="E275" t="s">
        <v>149</v>
      </c>
      <c r="F275" t="s">
        <v>35</v>
      </c>
      <c r="G275" t="s">
        <v>90</v>
      </c>
      <c r="H275" t="s">
        <v>62</v>
      </c>
      <c r="I275" t="s">
        <v>30</v>
      </c>
      <c r="J275" t="s">
        <v>47</v>
      </c>
      <c r="K275" t="s">
        <v>48</v>
      </c>
      <c r="L275">
        <v>2</v>
      </c>
      <c r="M275">
        <v>283.68</v>
      </c>
      <c r="N275">
        <v>0</v>
      </c>
      <c r="O275">
        <v>567.36</v>
      </c>
      <c r="P275">
        <v>68.25</v>
      </c>
    </row>
    <row r="276" spans="1:16" x14ac:dyDescent="0.35">
      <c r="A276" t="s">
        <v>540</v>
      </c>
      <c r="B276" s="1">
        <v>45116</v>
      </c>
      <c r="C276" s="1">
        <v>45117</v>
      </c>
      <c r="D276" t="s">
        <v>17</v>
      </c>
      <c r="E276" t="s">
        <v>463</v>
      </c>
      <c r="F276" t="s">
        <v>19</v>
      </c>
      <c r="G276" t="s">
        <v>90</v>
      </c>
      <c r="H276" t="s">
        <v>73</v>
      </c>
      <c r="I276" t="s">
        <v>52</v>
      </c>
      <c r="J276" t="s">
        <v>160</v>
      </c>
      <c r="K276" t="s">
        <v>161</v>
      </c>
      <c r="L276">
        <v>4</v>
      </c>
      <c r="M276">
        <v>474.04</v>
      </c>
      <c r="N276">
        <v>0.1</v>
      </c>
      <c r="O276">
        <v>1896.16</v>
      </c>
      <c r="P276">
        <v>441.55</v>
      </c>
    </row>
    <row r="277" spans="1:16" x14ac:dyDescent="0.35">
      <c r="A277" t="s">
        <v>541</v>
      </c>
      <c r="B277" s="1">
        <v>45552</v>
      </c>
      <c r="C277" s="1">
        <v>45556</v>
      </c>
      <c r="D277" t="s">
        <v>65</v>
      </c>
      <c r="E277" t="s">
        <v>114</v>
      </c>
      <c r="F277" t="s">
        <v>35</v>
      </c>
      <c r="G277" t="s">
        <v>67</v>
      </c>
      <c r="H277" t="s">
        <v>21</v>
      </c>
      <c r="I277" t="s">
        <v>22</v>
      </c>
      <c r="J277" t="s">
        <v>23</v>
      </c>
      <c r="K277" t="s">
        <v>24</v>
      </c>
      <c r="L277">
        <v>7</v>
      </c>
      <c r="M277">
        <v>399.42</v>
      </c>
      <c r="N277">
        <v>0</v>
      </c>
      <c r="O277">
        <v>2795.94</v>
      </c>
      <c r="P277">
        <v>-53.66</v>
      </c>
    </row>
    <row r="278" spans="1:16" x14ac:dyDescent="0.35">
      <c r="A278" t="s">
        <v>542</v>
      </c>
      <c r="B278" s="1">
        <v>45340</v>
      </c>
      <c r="C278" s="1">
        <v>45344</v>
      </c>
      <c r="D278" t="s">
        <v>17</v>
      </c>
      <c r="E278" t="s">
        <v>310</v>
      </c>
      <c r="F278" t="s">
        <v>19</v>
      </c>
      <c r="G278" t="s">
        <v>187</v>
      </c>
      <c r="H278" t="s">
        <v>29</v>
      </c>
      <c r="I278" t="s">
        <v>22</v>
      </c>
      <c r="J278" t="s">
        <v>37</v>
      </c>
      <c r="K278" t="s">
        <v>38</v>
      </c>
      <c r="L278">
        <v>1</v>
      </c>
      <c r="M278">
        <v>486</v>
      </c>
      <c r="N278">
        <v>0.1</v>
      </c>
      <c r="O278">
        <v>486</v>
      </c>
      <c r="P278">
        <v>103.3</v>
      </c>
    </row>
    <row r="279" spans="1:16" x14ac:dyDescent="0.35">
      <c r="A279" t="s">
        <v>543</v>
      </c>
      <c r="B279" s="1">
        <v>45008</v>
      </c>
      <c r="C279" s="1">
        <v>45009</v>
      </c>
      <c r="D279" t="s">
        <v>17</v>
      </c>
      <c r="E279" t="s">
        <v>544</v>
      </c>
      <c r="F279" t="s">
        <v>19</v>
      </c>
      <c r="G279" t="s">
        <v>103</v>
      </c>
      <c r="H279" t="s">
        <v>73</v>
      </c>
      <c r="I279" t="s">
        <v>30</v>
      </c>
      <c r="J279" t="s">
        <v>31</v>
      </c>
      <c r="K279" t="s">
        <v>32</v>
      </c>
      <c r="L279">
        <v>5</v>
      </c>
      <c r="M279">
        <v>694.48</v>
      </c>
      <c r="N279">
        <v>0.2</v>
      </c>
      <c r="O279">
        <v>3472.4</v>
      </c>
      <c r="P279">
        <v>34.64</v>
      </c>
    </row>
    <row r="280" spans="1:16" x14ac:dyDescent="0.35">
      <c r="A280" t="s">
        <v>545</v>
      </c>
      <c r="B280" s="1">
        <v>45559</v>
      </c>
      <c r="C280" s="1">
        <v>45565</v>
      </c>
      <c r="D280" t="s">
        <v>44</v>
      </c>
      <c r="E280" t="s">
        <v>389</v>
      </c>
      <c r="F280" t="s">
        <v>19</v>
      </c>
      <c r="G280" t="s">
        <v>61</v>
      </c>
      <c r="H280" t="s">
        <v>62</v>
      </c>
      <c r="I280" t="s">
        <v>30</v>
      </c>
      <c r="J280" t="s">
        <v>41</v>
      </c>
      <c r="K280" t="s">
        <v>105</v>
      </c>
      <c r="L280">
        <v>9</v>
      </c>
      <c r="M280">
        <v>651.36</v>
      </c>
      <c r="N280">
        <v>0.15</v>
      </c>
      <c r="O280">
        <v>5862.24</v>
      </c>
      <c r="P280">
        <v>1985.77</v>
      </c>
    </row>
    <row r="281" spans="1:16" x14ac:dyDescent="0.35">
      <c r="A281" t="s">
        <v>546</v>
      </c>
      <c r="B281" s="1">
        <v>45072</v>
      </c>
      <c r="C281" s="1">
        <v>45076</v>
      </c>
      <c r="D281" t="s">
        <v>59</v>
      </c>
      <c r="E281" t="s">
        <v>66</v>
      </c>
      <c r="F281" t="s">
        <v>35</v>
      </c>
      <c r="G281" t="s">
        <v>51</v>
      </c>
      <c r="H281" t="s">
        <v>36</v>
      </c>
      <c r="I281" t="s">
        <v>30</v>
      </c>
      <c r="J281" t="s">
        <v>41</v>
      </c>
      <c r="K281" t="s">
        <v>191</v>
      </c>
      <c r="L281">
        <v>10</v>
      </c>
      <c r="M281">
        <v>216.66</v>
      </c>
      <c r="N281">
        <v>0.15</v>
      </c>
      <c r="O281">
        <v>2166.6</v>
      </c>
      <c r="P281">
        <v>490.07</v>
      </c>
    </row>
    <row r="282" spans="1:16" x14ac:dyDescent="0.35">
      <c r="A282" t="s">
        <v>547</v>
      </c>
      <c r="B282" s="1">
        <v>45435</v>
      </c>
      <c r="C282" s="1">
        <v>45442</v>
      </c>
      <c r="D282" t="s">
        <v>44</v>
      </c>
      <c r="E282" t="s">
        <v>544</v>
      </c>
      <c r="F282" t="s">
        <v>19</v>
      </c>
      <c r="G282" t="s">
        <v>20</v>
      </c>
      <c r="H282" t="s">
        <v>36</v>
      </c>
      <c r="I282" t="s">
        <v>30</v>
      </c>
      <c r="J282" t="s">
        <v>99</v>
      </c>
      <c r="K282" t="s">
        <v>208</v>
      </c>
      <c r="L282">
        <v>11</v>
      </c>
      <c r="M282">
        <v>583.47</v>
      </c>
      <c r="N282">
        <v>0</v>
      </c>
      <c r="O282">
        <v>6418.17</v>
      </c>
      <c r="P282">
        <v>1567.99</v>
      </c>
    </row>
    <row r="283" spans="1:16" x14ac:dyDescent="0.35">
      <c r="A283" t="s">
        <v>548</v>
      </c>
      <c r="B283" s="1">
        <v>45462</v>
      </c>
      <c r="C283" s="1">
        <v>45469</v>
      </c>
      <c r="D283" t="s">
        <v>17</v>
      </c>
      <c r="E283" t="s">
        <v>131</v>
      </c>
      <c r="F283" t="s">
        <v>35</v>
      </c>
      <c r="G283" t="s">
        <v>67</v>
      </c>
      <c r="H283" t="s">
        <v>36</v>
      </c>
      <c r="I283" t="s">
        <v>22</v>
      </c>
      <c r="J283" t="s">
        <v>23</v>
      </c>
      <c r="K283" t="s">
        <v>289</v>
      </c>
      <c r="L283">
        <v>10</v>
      </c>
      <c r="M283">
        <v>815.91</v>
      </c>
      <c r="N283">
        <v>0.15</v>
      </c>
      <c r="O283">
        <v>8159.1</v>
      </c>
      <c r="P283">
        <v>-1046.48</v>
      </c>
    </row>
    <row r="284" spans="1:16" x14ac:dyDescent="0.35">
      <c r="A284" t="s">
        <v>549</v>
      </c>
      <c r="B284" s="1">
        <v>45496</v>
      </c>
      <c r="C284" s="1">
        <v>45503</v>
      </c>
      <c r="D284" t="s">
        <v>44</v>
      </c>
      <c r="E284" t="s">
        <v>239</v>
      </c>
      <c r="F284" t="s">
        <v>35</v>
      </c>
      <c r="G284" t="s">
        <v>51</v>
      </c>
      <c r="H284" t="s">
        <v>21</v>
      </c>
      <c r="I284" t="s">
        <v>52</v>
      </c>
      <c r="J284" t="s">
        <v>68</v>
      </c>
      <c r="K284" t="s">
        <v>108</v>
      </c>
      <c r="L284">
        <v>11</v>
      </c>
      <c r="M284">
        <v>870.6</v>
      </c>
      <c r="N284">
        <v>0</v>
      </c>
      <c r="O284">
        <v>9576.6</v>
      </c>
      <c r="P284">
        <v>2600.41</v>
      </c>
    </row>
    <row r="285" spans="1:16" x14ac:dyDescent="0.35">
      <c r="A285" t="s">
        <v>550</v>
      </c>
      <c r="B285" s="1">
        <v>45149</v>
      </c>
      <c r="C285" s="1">
        <v>45155</v>
      </c>
      <c r="D285" t="s">
        <v>59</v>
      </c>
      <c r="E285" t="s">
        <v>551</v>
      </c>
      <c r="F285" t="s">
        <v>27</v>
      </c>
      <c r="G285" t="s">
        <v>211</v>
      </c>
      <c r="H285" t="s">
        <v>29</v>
      </c>
      <c r="I285" t="s">
        <v>52</v>
      </c>
      <c r="J285" t="s">
        <v>53</v>
      </c>
      <c r="K285" t="s">
        <v>91</v>
      </c>
      <c r="L285">
        <v>4</v>
      </c>
      <c r="M285">
        <v>356.58</v>
      </c>
      <c r="N285">
        <v>0.1</v>
      </c>
      <c r="O285">
        <v>1426.32</v>
      </c>
      <c r="P285">
        <v>-136.46</v>
      </c>
    </row>
    <row r="286" spans="1:16" x14ac:dyDescent="0.35">
      <c r="A286" t="s">
        <v>552</v>
      </c>
      <c r="B286" s="1">
        <v>45367</v>
      </c>
      <c r="C286" s="1">
        <v>45371</v>
      </c>
      <c r="D286" t="s">
        <v>44</v>
      </c>
      <c r="E286" t="s">
        <v>210</v>
      </c>
      <c r="F286" t="s">
        <v>19</v>
      </c>
      <c r="G286" t="s">
        <v>103</v>
      </c>
      <c r="H286" t="s">
        <v>62</v>
      </c>
      <c r="I286" t="s">
        <v>22</v>
      </c>
      <c r="J286" t="s">
        <v>74</v>
      </c>
      <c r="K286" t="s">
        <v>253</v>
      </c>
      <c r="L286">
        <v>7</v>
      </c>
      <c r="M286">
        <v>578.01</v>
      </c>
      <c r="N286">
        <v>0.1</v>
      </c>
      <c r="O286">
        <v>4046.07</v>
      </c>
      <c r="P286">
        <v>938.27</v>
      </c>
    </row>
    <row r="287" spans="1:16" x14ac:dyDescent="0.35">
      <c r="A287" t="s">
        <v>553</v>
      </c>
      <c r="B287" s="1">
        <v>45414</v>
      </c>
      <c r="C287" s="1">
        <v>45418</v>
      </c>
      <c r="D287" t="s">
        <v>65</v>
      </c>
      <c r="E287" t="s">
        <v>77</v>
      </c>
      <c r="F287" t="s">
        <v>27</v>
      </c>
      <c r="H287" t="s">
        <v>62</v>
      </c>
      <c r="I287" t="s">
        <v>30</v>
      </c>
      <c r="J287" t="s">
        <v>99</v>
      </c>
      <c r="K287" t="s">
        <v>154</v>
      </c>
      <c r="L287">
        <v>9</v>
      </c>
      <c r="M287">
        <v>577.61</v>
      </c>
      <c r="N287">
        <v>0.15</v>
      </c>
      <c r="O287">
        <v>5198.49</v>
      </c>
      <c r="P287">
        <v>25.11</v>
      </c>
    </row>
    <row r="288" spans="1:16" x14ac:dyDescent="0.35">
      <c r="A288" t="s">
        <v>554</v>
      </c>
      <c r="B288" s="1">
        <v>45310</v>
      </c>
      <c r="C288" s="1">
        <v>45315</v>
      </c>
      <c r="D288" t="s">
        <v>44</v>
      </c>
      <c r="E288" t="s">
        <v>26</v>
      </c>
      <c r="F288" t="s">
        <v>19</v>
      </c>
      <c r="G288" t="s">
        <v>61</v>
      </c>
      <c r="H288" t="s">
        <v>62</v>
      </c>
      <c r="I288" t="s">
        <v>30</v>
      </c>
      <c r="J288" t="s">
        <v>47</v>
      </c>
      <c r="K288" t="s">
        <v>48</v>
      </c>
      <c r="L288">
        <v>9</v>
      </c>
      <c r="M288">
        <v>78.7</v>
      </c>
      <c r="N288">
        <v>0</v>
      </c>
      <c r="O288">
        <v>708.3</v>
      </c>
    </row>
    <row r="289" spans="1:16" x14ac:dyDescent="0.35">
      <c r="A289" t="s">
        <v>555</v>
      </c>
      <c r="B289" s="1">
        <v>45577</v>
      </c>
      <c r="C289" s="1">
        <v>45584</v>
      </c>
      <c r="D289" t="s">
        <v>17</v>
      </c>
      <c r="E289" t="s">
        <v>556</v>
      </c>
      <c r="F289" t="s">
        <v>27</v>
      </c>
      <c r="G289" t="s">
        <v>20</v>
      </c>
      <c r="H289" t="s">
        <v>36</v>
      </c>
      <c r="I289" t="s">
        <v>52</v>
      </c>
      <c r="J289" t="s">
        <v>194</v>
      </c>
      <c r="K289" t="s">
        <v>195</v>
      </c>
      <c r="L289">
        <v>10</v>
      </c>
      <c r="M289">
        <v>573.30999999999995</v>
      </c>
      <c r="N289">
        <v>0.15</v>
      </c>
      <c r="O289">
        <v>5733.1</v>
      </c>
      <c r="P289">
        <v>1230.1099999999999</v>
      </c>
    </row>
    <row r="290" spans="1:16" x14ac:dyDescent="0.35">
      <c r="A290" t="s">
        <v>557</v>
      </c>
      <c r="B290" s="1">
        <v>45226</v>
      </c>
      <c r="C290" s="1">
        <v>45233</v>
      </c>
      <c r="D290" t="s">
        <v>59</v>
      </c>
      <c r="E290" t="s">
        <v>558</v>
      </c>
      <c r="F290" t="s">
        <v>19</v>
      </c>
      <c r="G290" t="s">
        <v>288</v>
      </c>
      <c r="H290" t="s">
        <v>129</v>
      </c>
      <c r="I290" t="s">
        <v>22</v>
      </c>
      <c r="J290" t="s">
        <v>74</v>
      </c>
      <c r="K290" t="s">
        <v>75</v>
      </c>
      <c r="L290">
        <v>9</v>
      </c>
      <c r="M290">
        <v>83.78</v>
      </c>
      <c r="N290">
        <v>0</v>
      </c>
      <c r="O290">
        <v>754.02</v>
      </c>
      <c r="P290">
        <v>75.650000000000006</v>
      </c>
    </row>
    <row r="291" spans="1:16" x14ac:dyDescent="0.35">
      <c r="A291" t="s">
        <v>559</v>
      </c>
      <c r="B291" s="1">
        <v>45341</v>
      </c>
      <c r="C291" s="1">
        <v>45345</v>
      </c>
      <c r="D291" t="s">
        <v>17</v>
      </c>
      <c r="E291" t="s">
        <v>560</v>
      </c>
      <c r="F291" t="s">
        <v>35</v>
      </c>
      <c r="G291" t="s">
        <v>128</v>
      </c>
      <c r="H291" t="s">
        <v>129</v>
      </c>
      <c r="I291" t="s">
        <v>52</v>
      </c>
      <c r="J291" t="s">
        <v>68</v>
      </c>
      <c r="K291" t="s">
        <v>108</v>
      </c>
      <c r="L291">
        <v>7</v>
      </c>
      <c r="M291">
        <v>797.07</v>
      </c>
      <c r="N291">
        <v>0</v>
      </c>
      <c r="O291">
        <v>5579.49</v>
      </c>
      <c r="P291">
        <v>236.64</v>
      </c>
    </row>
    <row r="292" spans="1:16" x14ac:dyDescent="0.35">
      <c r="A292" t="s">
        <v>561</v>
      </c>
      <c r="B292" s="1">
        <v>45501</v>
      </c>
      <c r="C292" s="1">
        <v>45502</v>
      </c>
      <c r="D292" t="s">
        <v>17</v>
      </c>
      <c r="E292" t="s">
        <v>562</v>
      </c>
      <c r="F292" t="s">
        <v>27</v>
      </c>
      <c r="G292" t="s">
        <v>187</v>
      </c>
      <c r="H292" t="s">
        <v>29</v>
      </c>
      <c r="I292" t="s">
        <v>52</v>
      </c>
      <c r="J292" t="s">
        <v>68</v>
      </c>
      <c r="K292" t="s">
        <v>69</v>
      </c>
      <c r="L292">
        <v>3</v>
      </c>
      <c r="M292">
        <v>752.78</v>
      </c>
      <c r="N292">
        <v>0.15</v>
      </c>
      <c r="O292">
        <v>2258.34</v>
      </c>
      <c r="P292">
        <v>-241.55</v>
      </c>
    </row>
    <row r="293" spans="1:16" x14ac:dyDescent="0.35">
      <c r="A293" t="s">
        <v>563</v>
      </c>
      <c r="B293" s="1">
        <v>45119</v>
      </c>
      <c r="C293" s="1">
        <v>45124</v>
      </c>
      <c r="D293" t="s">
        <v>59</v>
      </c>
      <c r="E293" t="s">
        <v>163</v>
      </c>
      <c r="F293" t="s">
        <v>19</v>
      </c>
      <c r="G293" t="s">
        <v>128</v>
      </c>
      <c r="H293" t="s">
        <v>129</v>
      </c>
      <c r="I293" t="s">
        <v>30</v>
      </c>
      <c r="J293" t="s">
        <v>47</v>
      </c>
      <c r="K293" t="s">
        <v>48</v>
      </c>
      <c r="L293">
        <v>1</v>
      </c>
      <c r="M293">
        <v>69.209999999999994</v>
      </c>
      <c r="N293">
        <v>0</v>
      </c>
      <c r="O293">
        <v>69.209999999999994</v>
      </c>
      <c r="P293">
        <v>-5.4</v>
      </c>
    </row>
    <row r="294" spans="1:16" x14ac:dyDescent="0.35">
      <c r="A294" t="s">
        <v>564</v>
      </c>
      <c r="B294" s="1">
        <v>45503</v>
      </c>
      <c r="C294" s="1">
        <v>45507</v>
      </c>
      <c r="D294" t="s">
        <v>17</v>
      </c>
      <c r="E294" t="s">
        <v>565</v>
      </c>
      <c r="F294" t="s">
        <v>19</v>
      </c>
      <c r="G294" t="s">
        <v>61</v>
      </c>
      <c r="H294" t="s">
        <v>62</v>
      </c>
      <c r="I294" t="s">
        <v>30</v>
      </c>
      <c r="J294" t="s">
        <v>99</v>
      </c>
      <c r="K294" t="s">
        <v>208</v>
      </c>
      <c r="L294">
        <v>2</v>
      </c>
      <c r="M294">
        <v>26.47</v>
      </c>
      <c r="N294">
        <v>0.2</v>
      </c>
      <c r="O294">
        <v>52.94</v>
      </c>
      <c r="P294">
        <v>13.15</v>
      </c>
    </row>
    <row r="295" spans="1:16" x14ac:dyDescent="0.35">
      <c r="A295" t="s">
        <v>566</v>
      </c>
      <c r="B295" s="1">
        <v>45065</v>
      </c>
      <c r="C295" s="1">
        <v>45067</v>
      </c>
      <c r="D295" t="s">
        <v>17</v>
      </c>
      <c r="E295" t="s">
        <v>567</v>
      </c>
      <c r="F295" t="s">
        <v>35</v>
      </c>
      <c r="G295" t="s">
        <v>332</v>
      </c>
      <c r="H295" t="s">
        <v>123</v>
      </c>
      <c r="I295" t="s">
        <v>30</v>
      </c>
      <c r="J295" t="s">
        <v>99</v>
      </c>
      <c r="K295" t="s">
        <v>208</v>
      </c>
      <c r="L295">
        <v>8</v>
      </c>
      <c r="M295">
        <v>224.98</v>
      </c>
      <c r="N295">
        <v>0</v>
      </c>
      <c r="O295">
        <v>1799.84</v>
      </c>
      <c r="P295">
        <v>369.16</v>
      </c>
    </row>
    <row r="296" spans="1:16" x14ac:dyDescent="0.35">
      <c r="A296" t="s">
        <v>364</v>
      </c>
      <c r="B296" s="1">
        <v>45396</v>
      </c>
      <c r="C296" s="1">
        <v>45402</v>
      </c>
      <c r="E296" t="s">
        <v>151</v>
      </c>
      <c r="F296" t="s">
        <v>19</v>
      </c>
      <c r="G296" t="s">
        <v>111</v>
      </c>
      <c r="H296" t="s">
        <v>112</v>
      </c>
      <c r="I296" t="s">
        <v>30</v>
      </c>
      <c r="J296" t="s">
        <v>31</v>
      </c>
      <c r="K296" t="s">
        <v>87</v>
      </c>
      <c r="L296">
        <v>9</v>
      </c>
      <c r="M296">
        <v>898.6</v>
      </c>
      <c r="N296">
        <v>0.1</v>
      </c>
      <c r="O296">
        <v>8087.4</v>
      </c>
      <c r="P296">
        <v>2561.7600000000002</v>
      </c>
    </row>
    <row r="297" spans="1:16" x14ac:dyDescent="0.35">
      <c r="A297" t="s">
        <v>568</v>
      </c>
      <c r="B297" s="1">
        <v>45282</v>
      </c>
      <c r="C297" s="1">
        <v>45286</v>
      </c>
      <c r="D297" t="s">
        <v>65</v>
      </c>
      <c r="E297" t="s">
        <v>389</v>
      </c>
      <c r="F297" t="s">
        <v>19</v>
      </c>
      <c r="G297" t="s">
        <v>187</v>
      </c>
      <c r="H297" t="s">
        <v>159</v>
      </c>
      <c r="I297" t="s">
        <v>22</v>
      </c>
      <c r="J297" t="s">
        <v>37</v>
      </c>
      <c r="K297" t="s">
        <v>144</v>
      </c>
      <c r="L297">
        <v>11</v>
      </c>
      <c r="M297">
        <v>193.62</v>
      </c>
      <c r="N297">
        <v>0.15</v>
      </c>
      <c r="O297">
        <v>2129.8200000000002</v>
      </c>
      <c r="P297">
        <v>-212.19</v>
      </c>
    </row>
    <row r="298" spans="1:16" x14ac:dyDescent="0.35">
      <c r="A298" t="s">
        <v>569</v>
      </c>
      <c r="B298" s="1">
        <v>45230</v>
      </c>
      <c r="C298" s="1">
        <v>45237</v>
      </c>
      <c r="D298" t="s">
        <v>65</v>
      </c>
      <c r="E298" t="s">
        <v>570</v>
      </c>
      <c r="F298" t="s">
        <v>19</v>
      </c>
      <c r="G298" t="s">
        <v>61</v>
      </c>
      <c r="H298" t="s">
        <v>73</v>
      </c>
      <c r="I298" t="s">
        <v>22</v>
      </c>
      <c r="J298" t="s">
        <v>115</v>
      </c>
      <c r="K298" t="s">
        <v>147</v>
      </c>
      <c r="L298">
        <v>10</v>
      </c>
      <c r="M298">
        <v>348.77</v>
      </c>
      <c r="N298">
        <v>0.15</v>
      </c>
      <c r="O298">
        <v>3487.7</v>
      </c>
      <c r="P298">
        <v>-90.33</v>
      </c>
    </row>
    <row r="299" spans="1:16" x14ac:dyDescent="0.35">
      <c r="A299" t="s">
        <v>571</v>
      </c>
      <c r="B299" s="1">
        <v>44966</v>
      </c>
      <c r="C299" s="1">
        <v>44973</v>
      </c>
      <c r="D299" t="s">
        <v>17</v>
      </c>
      <c r="E299" t="s">
        <v>89</v>
      </c>
      <c r="F299" t="s">
        <v>35</v>
      </c>
      <c r="G299" t="s">
        <v>82</v>
      </c>
      <c r="H299" t="s">
        <v>83</v>
      </c>
      <c r="I299" t="s">
        <v>52</v>
      </c>
      <c r="J299" t="s">
        <v>53</v>
      </c>
      <c r="K299" t="s">
        <v>91</v>
      </c>
      <c r="L299">
        <v>2</v>
      </c>
      <c r="M299">
        <v>437.1</v>
      </c>
      <c r="N299">
        <v>0.3</v>
      </c>
      <c r="O299">
        <v>874.2</v>
      </c>
      <c r="P299">
        <v>292.54000000000002</v>
      </c>
    </row>
    <row r="300" spans="1:16" x14ac:dyDescent="0.35">
      <c r="A300" t="s">
        <v>572</v>
      </c>
      <c r="B300" s="1">
        <v>45297</v>
      </c>
      <c r="C300" s="1">
        <v>45298</v>
      </c>
      <c r="D300" t="s">
        <v>65</v>
      </c>
      <c r="E300" t="s">
        <v>415</v>
      </c>
      <c r="F300" t="s">
        <v>35</v>
      </c>
      <c r="H300" t="s">
        <v>112</v>
      </c>
      <c r="I300" t="s">
        <v>52</v>
      </c>
      <c r="J300" t="s">
        <v>53</v>
      </c>
      <c r="K300" t="s">
        <v>91</v>
      </c>
      <c r="L300">
        <v>7</v>
      </c>
      <c r="M300">
        <v>784.12</v>
      </c>
      <c r="N300">
        <v>0.2</v>
      </c>
      <c r="O300">
        <v>5488.84</v>
      </c>
      <c r="P300">
        <v>108.44</v>
      </c>
    </row>
    <row r="301" spans="1:16" x14ac:dyDescent="0.35">
      <c r="A301" t="s">
        <v>573</v>
      </c>
      <c r="B301" s="1">
        <v>45005</v>
      </c>
      <c r="C301" s="1">
        <v>45010</v>
      </c>
      <c r="D301" t="s">
        <v>17</v>
      </c>
      <c r="E301" t="s">
        <v>574</v>
      </c>
      <c r="F301" t="s">
        <v>19</v>
      </c>
      <c r="G301" t="s">
        <v>45</v>
      </c>
      <c r="H301" t="s">
        <v>83</v>
      </c>
      <c r="I301" t="s">
        <v>30</v>
      </c>
      <c r="J301" t="s">
        <v>47</v>
      </c>
      <c r="K301" t="s">
        <v>63</v>
      </c>
      <c r="L301">
        <v>2</v>
      </c>
      <c r="M301">
        <v>136.07</v>
      </c>
      <c r="N301">
        <v>0</v>
      </c>
      <c r="O301">
        <v>272.14</v>
      </c>
      <c r="P301">
        <v>-17.21</v>
      </c>
    </row>
    <row r="302" spans="1:16" x14ac:dyDescent="0.35">
      <c r="A302" t="s">
        <v>575</v>
      </c>
      <c r="B302" s="1">
        <v>45239</v>
      </c>
      <c r="C302" s="1">
        <v>45244</v>
      </c>
      <c r="D302" t="s">
        <v>59</v>
      </c>
      <c r="E302" t="s">
        <v>576</v>
      </c>
      <c r="F302" t="s">
        <v>19</v>
      </c>
      <c r="G302" t="s">
        <v>82</v>
      </c>
      <c r="H302" t="s">
        <v>83</v>
      </c>
      <c r="I302" t="s">
        <v>22</v>
      </c>
      <c r="J302" t="s">
        <v>23</v>
      </c>
      <c r="K302" t="s">
        <v>24</v>
      </c>
      <c r="L302">
        <v>3</v>
      </c>
      <c r="M302">
        <v>50.22</v>
      </c>
      <c r="N302">
        <v>0.2</v>
      </c>
      <c r="O302">
        <v>150.66</v>
      </c>
      <c r="P302">
        <v>52.53</v>
      </c>
    </row>
    <row r="303" spans="1:16" x14ac:dyDescent="0.35">
      <c r="A303" t="s">
        <v>577</v>
      </c>
      <c r="B303" s="1">
        <v>45418</v>
      </c>
      <c r="C303" s="1">
        <v>45424</v>
      </c>
      <c r="D303" t="s">
        <v>59</v>
      </c>
      <c r="E303" t="s">
        <v>193</v>
      </c>
      <c r="F303" t="s">
        <v>19</v>
      </c>
      <c r="G303" t="s">
        <v>20</v>
      </c>
      <c r="H303" t="s">
        <v>36</v>
      </c>
      <c r="I303" t="s">
        <v>22</v>
      </c>
      <c r="J303" t="s">
        <v>74</v>
      </c>
      <c r="K303" t="s">
        <v>75</v>
      </c>
      <c r="L303">
        <v>12</v>
      </c>
      <c r="M303">
        <v>367.8</v>
      </c>
      <c r="N303">
        <v>0.3</v>
      </c>
      <c r="O303">
        <v>4413.6000000000004</v>
      </c>
      <c r="P303">
        <v>1261.3</v>
      </c>
    </row>
    <row r="304" spans="1:16" x14ac:dyDescent="0.35">
      <c r="A304" t="s">
        <v>578</v>
      </c>
      <c r="B304" s="1">
        <v>45429</v>
      </c>
      <c r="C304" s="1">
        <v>45435</v>
      </c>
      <c r="D304" t="s">
        <v>59</v>
      </c>
      <c r="E304" t="s">
        <v>579</v>
      </c>
      <c r="F304" t="s">
        <v>35</v>
      </c>
      <c r="G304" t="s">
        <v>67</v>
      </c>
      <c r="H304" t="s">
        <v>36</v>
      </c>
      <c r="I304" t="s">
        <v>22</v>
      </c>
      <c r="J304" t="s">
        <v>37</v>
      </c>
      <c r="K304" t="s">
        <v>144</v>
      </c>
      <c r="L304">
        <v>1</v>
      </c>
      <c r="M304">
        <v>745.84</v>
      </c>
      <c r="N304">
        <v>0</v>
      </c>
      <c r="O304">
        <v>745.84</v>
      </c>
      <c r="P304">
        <v>152.96</v>
      </c>
    </row>
    <row r="305" spans="1:16" x14ac:dyDescent="0.35">
      <c r="A305" t="s">
        <v>580</v>
      </c>
      <c r="B305" s="1">
        <v>45525</v>
      </c>
      <c r="C305" s="1">
        <v>45530</v>
      </c>
      <c r="D305" t="s">
        <v>59</v>
      </c>
      <c r="E305" t="s">
        <v>122</v>
      </c>
      <c r="F305" t="s">
        <v>35</v>
      </c>
      <c r="G305" t="s">
        <v>187</v>
      </c>
      <c r="H305" t="s">
        <v>159</v>
      </c>
      <c r="I305" t="s">
        <v>52</v>
      </c>
      <c r="J305" t="s">
        <v>53</v>
      </c>
      <c r="K305" t="s">
        <v>91</v>
      </c>
      <c r="L305">
        <v>6</v>
      </c>
      <c r="M305">
        <v>66.66</v>
      </c>
      <c r="N305">
        <v>0</v>
      </c>
      <c r="O305">
        <v>399.96</v>
      </c>
      <c r="P305">
        <v>64.8</v>
      </c>
    </row>
    <row r="306" spans="1:16" x14ac:dyDescent="0.35">
      <c r="A306" t="s">
        <v>581</v>
      </c>
      <c r="B306" s="1">
        <v>45650</v>
      </c>
      <c r="C306" s="1">
        <v>45656</v>
      </c>
      <c r="D306" t="s">
        <v>44</v>
      </c>
      <c r="E306" t="s">
        <v>143</v>
      </c>
      <c r="F306" t="s">
        <v>35</v>
      </c>
      <c r="G306" t="s">
        <v>107</v>
      </c>
      <c r="H306" t="s">
        <v>46</v>
      </c>
      <c r="I306" t="s">
        <v>22</v>
      </c>
      <c r="J306" t="s">
        <v>37</v>
      </c>
      <c r="K306" t="s">
        <v>38</v>
      </c>
      <c r="L306">
        <v>10</v>
      </c>
      <c r="M306">
        <v>522.62</v>
      </c>
      <c r="N306">
        <v>0.2</v>
      </c>
      <c r="O306">
        <v>5226.2</v>
      </c>
      <c r="P306">
        <v>1415.04</v>
      </c>
    </row>
    <row r="307" spans="1:16" x14ac:dyDescent="0.35">
      <c r="A307" t="s">
        <v>582</v>
      </c>
      <c r="B307" s="1">
        <v>45017</v>
      </c>
      <c r="C307" s="1">
        <v>45020</v>
      </c>
      <c r="D307" t="s">
        <v>59</v>
      </c>
      <c r="E307" t="s">
        <v>386</v>
      </c>
      <c r="F307" t="s">
        <v>19</v>
      </c>
      <c r="G307" t="s">
        <v>51</v>
      </c>
      <c r="H307" t="s">
        <v>21</v>
      </c>
      <c r="I307" t="s">
        <v>52</v>
      </c>
      <c r="J307" t="s">
        <v>53</v>
      </c>
      <c r="K307" t="s">
        <v>54</v>
      </c>
      <c r="L307">
        <v>7</v>
      </c>
      <c r="M307">
        <v>53.51</v>
      </c>
      <c r="N307">
        <v>0.15</v>
      </c>
      <c r="O307">
        <v>374.57</v>
      </c>
      <c r="P307">
        <v>11.57</v>
      </c>
    </row>
    <row r="308" spans="1:16" x14ac:dyDescent="0.35">
      <c r="A308" t="s">
        <v>583</v>
      </c>
      <c r="B308" s="1">
        <v>45345</v>
      </c>
      <c r="C308" s="1">
        <v>45346</v>
      </c>
      <c r="D308" t="s">
        <v>59</v>
      </c>
      <c r="E308" t="s">
        <v>544</v>
      </c>
      <c r="F308" t="s">
        <v>35</v>
      </c>
      <c r="G308" t="s">
        <v>82</v>
      </c>
      <c r="H308" t="s">
        <v>83</v>
      </c>
      <c r="I308" t="s">
        <v>52</v>
      </c>
      <c r="J308" t="s">
        <v>160</v>
      </c>
      <c r="K308" t="s">
        <v>161</v>
      </c>
      <c r="L308">
        <v>6</v>
      </c>
      <c r="M308">
        <v>277.91000000000003</v>
      </c>
      <c r="N308">
        <v>0</v>
      </c>
      <c r="O308">
        <v>1667.46</v>
      </c>
      <c r="P308">
        <v>2.72</v>
      </c>
    </row>
    <row r="309" spans="1:16" x14ac:dyDescent="0.35">
      <c r="A309" t="s">
        <v>584</v>
      </c>
      <c r="B309" s="1">
        <v>45336</v>
      </c>
      <c r="C309" s="1">
        <v>45341</v>
      </c>
      <c r="D309" t="s">
        <v>65</v>
      </c>
      <c r="E309" t="s">
        <v>437</v>
      </c>
      <c r="F309" t="s">
        <v>27</v>
      </c>
      <c r="G309" t="s">
        <v>288</v>
      </c>
      <c r="H309" t="s">
        <v>112</v>
      </c>
      <c r="I309" t="s">
        <v>30</v>
      </c>
      <c r="J309" t="s">
        <v>41</v>
      </c>
      <c r="K309" t="s">
        <v>191</v>
      </c>
      <c r="L309">
        <v>9</v>
      </c>
      <c r="M309">
        <v>17.22</v>
      </c>
      <c r="N309">
        <v>0.2</v>
      </c>
      <c r="O309">
        <v>154.97999999999999</v>
      </c>
      <c r="P309">
        <v>-4.92</v>
      </c>
    </row>
    <row r="310" spans="1:16" x14ac:dyDescent="0.35">
      <c r="A310" t="s">
        <v>585</v>
      </c>
      <c r="B310" s="1">
        <v>45306</v>
      </c>
      <c r="C310" s="1">
        <v>45312</v>
      </c>
      <c r="D310" t="s">
        <v>59</v>
      </c>
      <c r="E310" t="s">
        <v>453</v>
      </c>
      <c r="F310" t="s">
        <v>19</v>
      </c>
      <c r="G310" t="s">
        <v>51</v>
      </c>
      <c r="H310" t="s">
        <v>21</v>
      </c>
      <c r="I310" t="s">
        <v>52</v>
      </c>
      <c r="J310" t="s">
        <v>78</v>
      </c>
      <c r="K310" t="s">
        <v>79</v>
      </c>
      <c r="L310">
        <v>6</v>
      </c>
      <c r="M310">
        <v>786.4</v>
      </c>
      <c r="N310">
        <v>0.3</v>
      </c>
      <c r="O310">
        <v>4718.3999999999996</v>
      </c>
      <c r="P310">
        <v>-471.42</v>
      </c>
    </row>
    <row r="311" spans="1:16" x14ac:dyDescent="0.35">
      <c r="A311" t="s">
        <v>586</v>
      </c>
      <c r="B311" s="1">
        <v>45142</v>
      </c>
      <c r="C311" s="1">
        <v>45148</v>
      </c>
      <c r="D311" t="s">
        <v>65</v>
      </c>
      <c r="E311" t="s">
        <v>149</v>
      </c>
      <c r="F311" t="s">
        <v>27</v>
      </c>
      <c r="G311" t="s">
        <v>28</v>
      </c>
      <c r="H311" t="s">
        <v>29</v>
      </c>
      <c r="I311" t="s">
        <v>22</v>
      </c>
      <c r="J311" t="s">
        <v>37</v>
      </c>
      <c r="K311" t="s">
        <v>38</v>
      </c>
      <c r="L311">
        <v>3</v>
      </c>
      <c r="M311">
        <v>793.87</v>
      </c>
      <c r="N311">
        <v>0</v>
      </c>
      <c r="O311">
        <v>2381.61</v>
      </c>
      <c r="P311">
        <v>-143.66</v>
      </c>
    </row>
    <row r="312" spans="1:16" x14ac:dyDescent="0.35">
      <c r="A312" t="s">
        <v>587</v>
      </c>
      <c r="B312" s="1">
        <v>45498</v>
      </c>
      <c r="C312" s="1">
        <v>45504</v>
      </c>
      <c r="D312" t="s">
        <v>59</v>
      </c>
      <c r="E312" t="s">
        <v>287</v>
      </c>
      <c r="F312" t="s">
        <v>27</v>
      </c>
      <c r="G312" t="s">
        <v>181</v>
      </c>
      <c r="H312" t="s">
        <v>123</v>
      </c>
      <c r="I312" t="s">
        <v>30</v>
      </c>
      <c r="J312" t="s">
        <v>31</v>
      </c>
      <c r="K312" t="s">
        <v>32</v>
      </c>
      <c r="L312">
        <v>8</v>
      </c>
      <c r="M312">
        <v>140.53</v>
      </c>
      <c r="N312">
        <v>0.3</v>
      </c>
      <c r="O312">
        <v>1124.24</v>
      </c>
      <c r="P312">
        <v>-63.46</v>
      </c>
    </row>
    <row r="313" spans="1:16" x14ac:dyDescent="0.35">
      <c r="A313" t="s">
        <v>588</v>
      </c>
      <c r="B313" s="1">
        <v>45601</v>
      </c>
      <c r="C313" s="1">
        <v>45603</v>
      </c>
      <c r="D313" t="s">
        <v>44</v>
      </c>
      <c r="E313" t="s">
        <v>589</v>
      </c>
      <c r="F313" t="s">
        <v>19</v>
      </c>
      <c r="G313" t="s">
        <v>90</v>
      </c>
      <c r="H313" t="s">
        <v>73</v>
      </c>
      <c r="I313" t="s">
        <v>22</v>
      </c>
      <c r="J313" t="s">
        <v>115</v>
      </c>
      <c r="K313" t="s">
        <v>116</v>
      </c>
      <c r="L313">
        <v>10</v>
      </c>
      <c r="M313">
        <v>557.64</v>
      </c>
      <c r="N313">
        <v>0.1</v>
      </c>
      <c r="O313">
        <v>5576.4</v>
      </c>
      <c r="P313">
        <v>-648.05999999999995</v>
      </c>
    </row>
    <row r="314" spans="1:16" x14ac:dyDescent="0.35">
      <c r="A314" t="s">
        <v>590</v>
      </c>
      <c r="B314" s="1">
        <v>45507</v>
      </c>
      <c r="C314" s="1">
        <v>45512</v>
      </c>
      <c r="D314" t="s">
        <v>59</v>
      </c>
      <c r="E314" t="s">
        <v>570</v>
      </c>
      <c r="F314" t="s">
        <v>35</v>
      </c>
      <c r="G314" t="s">
        <v>103</v>
      </c>
      <c r="H314" t="s">
        <v>73</v>
      </c>
      <c r="I314" t="s">
        <v>22</v>
      </c>
      <c r="J314" t="s">
        <v>74</v>
      </c>
      <c r="K314" t="s">
        <v>75</v>
      </c>
      <c r="L314">
        <v>7</v>
      </c>
      <c r="M314">
        <v>241.4</v>
      </c>
      <c r="N314">
        <v>0.2</v>
      </c>
      <c r="O314">
        <v>1689.8</v>
      </c>
      <c r="P314">
        <v>156.80000000000001</v>
      </c>
    </row>
    <row r="315" spans="1:16" x14ac:dyDescent="0.35">
      <c r="A315" t="s">
        <v>591</v>
      </c>
      <c r="B315" s="1">
        <v>45612</v>
      </c>
      <c r="C315" s="1">
        <v>45619</v>
      </c>
      <c r="D315" t="s">
        <v>17</v>
      </c>
      <c r="E315" t="s">
        <v>316</v>
      </c>
      <c r="F315" t="s">
        <v>35</v>
      </c>
      <c r="G315" t="s">
        <v>86</v>
      </c>
      <c r="H315" t="s">
        <v>159</v>
      </c>
      <c r="I315" t="s">
        <v>22</v>
      </c>
      <c r="J315" t="s">
        <v>74</v>
      </c>
      <c r="K315" t="s">
        <v>75</v>
      </c>
      <c r="L315">
        <v>4</v>
      </c>
      <c r="M315">
        <v>183.62</v>
      </c>
      <c r="N315">
        <v>0.1</v>
      </c>
      <c r="O315">
        <v>734.48</v>
      </c>
      <c r="P315">
        <v>18.239999999999998</v>
      </c>
    </row>
    <row r="316" spans="1:16" x14ac:dyDescent="0.35">
      <c r="A316" t="s">
        <v>592</v>
      </c>
      <c r="B316" s="1">
        <v>45629</v>
      </c>
      <c r="C316" s="1">
        <v>45635</v>
      </c>
      <c r="D316" t="s">
        <v>65</v>
      </c>
      <c r="E316" t="s">
        <v>492</v>
      </c>
      <c r="F316" t="s">
        <v>35</v>
      </c>
      <c r="G316" t="s">
        <v>45</v>
      </c>
      <c r="H316" t="s">
        <v>83</v>
      </c>
      <c r="I316" t="s">
        <v>52</v>
      </c>
      <c r="J316" t="s">
        <v>160</v>
      </c>
      <c r="K316" t="s">
        <v>234</v>
      </c>
      <c r="L316">
        <v>11</v>
      </c>
      <c r="M316">
        <v>401.87</v>
      </c>
      <c r="N316">
        <v>0</v>
      </c>
      <c r="O316">
        <v>4420.57</v>
      </c>
      <c r="P316">
        <v>-459.79</v>
      </c>
    </row>
    <row r="317" spans="1:16" x14ac:dyDescent="0.35">
      <c r="A317" t="s">
        <v>593</v>
      </c>
      <c r="B317" s="1">
        <v>45021</v>
      </c>
      <c r="C317" s="1">
        <v>45027</v>
      </c>
      <c r="D317" t="s">
        <v>59</v>
      </c>
      <c r="E317" t="s">
        <v>510</v>
      </c>
      <c r="F317" t="s">
        <v>19</v>
      </c>
      <c r="G317" t="s">
        <v>132</v>
      </c>
      <c r="H317" t="s">
        <v>112</v>
      </c>
      <c r="I317" t="s">
        <v>22</v>
      </c>
      <c r="J317" t="s">
        <v>23</v>
      </c>
      <c r="K317" t="s">
        <v>24</v>
      </c>
      <c r="L317">
        <v>5</v>
      </c>
      <c r="M317">
        <v>624.19000000000005</v>
      </c>
      <c r="N317">
        <v>0.15</v>
      </c>
      <c r="O317">
        <v>3120.95</v>
      </c>
      <c r="P317">
        <v>1041.9000000000001</v>
      </c>
    </row>
    <row r="318" spans="1:16" x14ac:dyDescent="0.35">
      <c r="A318" t="s">
        <v>594</v>
      </c>
      <c r="B318" s="1">
        <v>45621</v>
      </c>
      <c r="C318" s="1">
        <v>45626</v>
      </c>
      <c r="D318" t="s">
        <v>59</v>
      </c>
      <c r="E318" t="s">
        <v>445</v>
      </c>
      <c r="F318" t="s">
        <v>27</v>
      </c>
      <c r="G318" t="s">
        <v>132</v>
      </c>
      <c r="H318" t="s">
        <v>129</v>
      </c>
      <c r="I318" t="s">
        <v>52</v>
      </c>
      <c r="J318" t="s">
        <v>53</v>
      </c>
      <c r="K318" t="s">
        <v>91</v>
      </c>
      <c r="L318">
        <v>10</v>
      </c>
      <c r="M318">
        <v>128.87</v>
      </c>
      <c r="N318">
        <v>0</v>
      </c>
      <c r="O318">
        <v>1288.7</v>
      </c>
      <c r="P318">
        <v>-159.68</v>
      </c>
    </row>
    <row r="319" spans="1:16" x14ac:dyDescent="0.35">
      <c r="A319" t="s">
        <v>595</v>
      </c>
      <c r="B319" s="1">
        <v>45324</v>
      </c>
      <c r="C319" s="1">
        <v>45331</v>
      </c>
      <c r="D319" t="s">
        <v>17</v>
      </c>
      <c r="E319" t="s">
        <v>324</v>
      </c>
      <c r="F319" t="s">
        <v>27</v>
      </c>
      <c r="G319" t="s">
        <v>86</v>
      </c>
      <c r="H319" t="s">
        <v>159</v>
      </c>
      <c r="I319" t="s">
        <v>22</v>
      </c>
      <c r="J319" t="s">
        <v>74</v>
      </c>
      <c r="K319" t="s">
        <v>165</v>
      </c>
      <c r="L319">
        <v>6</v>
      </c>
      <c r="M319">
        <v>148.5</v>
      </c>
      <c r="N319">
        <v>0.3</v>
      </c>
      <c r="O319">
        <v>891</v>
      </c>
      <c r="P319">
        <v>173.54</v>
      </c>
    </row>
    <row r="320" spans="1:16" x14ac:dyDescent="0.35">
      <c r="A320" t="s">
        <v>596</v>
      </c>
      <c r="B320" s="1">
        <v>45247</v>
      </c>
      <c r="C320" s="1">
        <v>45249</v>
      </c>
      <c r="D320" t="s">
        <v>65</v>
      </c>
      <c r="E320" t="s">
        <v>85</v>
      </c>
      <c r="F320" t="s">
        <v>35</v>
      </c>
      <c r="G320" t="s">
        <v>187</v>
      </c>
      <c r="H320" t="s">
        <v>29</v>
      </c>
      <c r="I320" t="s">
        <v>52</v>
      </c>
      <c r="J320" t="s">
        <v>68</v>
      </c>
      <c r="K320" t="s">
        <v>216</v>
      </c>
      <c r="L320">
        <v>7</v>
      </c>
      <c r="M320">
        <v>457.37</v>
      </c>
      <c r="N320">
        <v>0</v>
      </c>
      <c r="O320">
        <v>3201.59</v>
      </c>
      <c r="P320">
        <v>-135.84</v>
      </c>
    </row>
    <row r="321" spans="1:16" x14ac:dyDescent="0.35">
      <c r="A321" t="s">
        <v>597</v>
      </c>
      <c r="B321" s="1">
        <v>45386</v>
      </c>
      <c r="C321" s="1">
        <v>45393</v>
      </c>
      <c r="D321" t="s">
        <v>17</v>
      </c>
      <c r="E321" t="s">
        <v>297</v>
      </c>
      <c r="F321" t="s">
        <v>35</v>
      </c>
      <c r="G321" t="s">
        <v>132</v>
      </c>
      <c r="H321" t="s">
        <v>112</v>
      </c>
      <c r="I321" t="s">
        <v>22</v>
      </c>
      <c r="J321" t="s">
        <v>23</v>
      </c>
      <c r="K321" t="s">
        <v>289</v>
      </c>
      <c r="L321">
        <v>3</v>
      </c>
      <c r="M321">
        <v>893.6</v>
      </c>
      <c r="N321">
        <v>0.1</v>
      </c>
      <c r="O321">
        <v>2680.8</v>
      </c>
      <c r="P321">
        <v>306.74</v>
      </c>
    </row>
    <row r="322" spans="1:16" x14ac:dyDescent="0.35">
      <c r="A322" t="s">
        <v>598</v>
      </c>
      <c r="B322" s="1">
        <v>44977</v>
      </c>
      <c r="C322" s="1">
        <v>44981</v>
      </c>
      <c r="D322" t="s">
        <v>44</v>
      </c>
      <c r="E322" t="s">
        <v>599</v>
      </c>
      <c r="F322" t="s">
        <v>35</v>
      </c>
      <c r="G322" t="s">
        <v>132</v>
      </c>
      <c r="H322" t="s">
        <v>112</v>
      </c>
      <c r="I322" t="s">
        <v>30</v>
      </c>
      <c r="J322" t="s">
        <v>31</v>
      </c>
      <c r="K322" t="s">
        <v>87</v>
      </c>
      <c r="L322">
        <v>-3</v>
      </c>
      <c r="M322">
        <v>458.5</v>
      </c>
      <c r="N322">
        <v>0.15</v>
      </c>
      <c r="O322">
        <v>1375.5</v>
      </c>
      <c r="P322">
        <v>291.95999999999998</v>
      </c>
    </row>
    <row r="323" spans="1:16" x14ac:dyDescent="0.35">
      <c r="A323" t="s">
        <v>600</v>
      </c>
      <c r="B323" s="1">
        <v>45646</v>
      </c>
      <c r="C323" s="1">
        <v>45651</v>
      </c>
      <c r="D323" t="s">
        <v>59</v>
      </c>
      <c r="E323" t="s">
        <v>269</v>
      </c>
      <c r="F323" t="s">
        <v>19</v>
      </c>
      <c r="G323" t="s">
        <v>61</v>
      </c>
      <c r="H323" t="s">
        <v>62</v>
      </c>
      <c r="I323" t="s">
        <v>22</v>
      </c>
      <c r="J323" t="s">
        <v>74</v>
      </c>
      <c r="K323" t="s">
        <v>75</v>
      </c>
      <c r="L323">
        <v>7</v>
      </c>
      <c r="M323">
        <v>775.51</v>
      </c>
      <c r="N323">
        <v>0.1</v>
      </c>
      <c r="O323">
        <v>5428.57</v>
      </c>
    </row>
    <row r="324" spans="1:16" x14ac:dyDescent="0.35">
      <c r="A324" t="s">
        <v>601</v>
      </c>
      <c r="B324" s="1">
        <v>45652</v>
      </c>
      <c r="C324" s="1">
        <v>45656</v>
      </c>
      <c r="D324" t="s">
        <v>65</v>
      </c>
      <c r="E324" t="s">
        <v>518</v>
      </c>
      <c r="F324" t="s">
        <v>27</v>
      </c>
      <c r="G324" t="s">
        <v>28</v>
      </c>
      <c r="H324" t="s">
        <v>159</v>
      </c>
      <c r="I324" t="s">
        <v>30</v>
      </c>
      <c r="J324" t="s">
        <v>47</v>
      </c>
      <c r="K324" t="s">
        <v>63</v>
      </c>
      <c r="L324">
        <v>9</v>
      </c>
      <c r="M324">
        <v>186.7</v>
      </c>
      <c r="O324">
        <v>1680.3</v>
      </c>
      <c r="P324">
        <v>-94.14</v>
      </c>
    </row>
    <row r="325" spans="1:16" x14ac:dyDescent="0.35">
      <c r="A325" t="s">
        <v>602</v>
      </c>
      <c r="B325" s="1">
        <v>45607</v>
      </c>
      <c r="C325" s="1">
        <v>45614</v>
      </c>
      <c r="D325" t="s">
        <v>59</v>
      </c>
      <c r="E325" t="s">
        <v>122</v>
      </c>
      <c r="F325" t="s">
        <v>35</v>
      </c>
      <c r="G325" t="s">
        <v>20</v>
      </c>
      <c r="H325" t="s">
        <v>21</v>
      </c>
      <c r="I325" t="s">
        <v>52</v>
      </c>
      <c r="J325" t="s">
        <v>194</v>
      </c>
      <c r="K325" t="s">
        <v>306</v>
      </c>
      <c r="L325">
        <v>11</v>
      </c>
      <c r="M325">
        <v>368.72</v>
      </c>
      <c r="N325">
        <v>0.15</v>
      </c>
      <c r="O325">
        <v>4055.92</v>
      </c>
      <c r="P325">
        <v>856.38</v>
      </c>
    </row>
    <row r="326" spans="1:16" x14ac:dyDescent="0.35">
      <c r="A326" t="s">
        <v>603</v>
      </c>
      <c r="B326" s="1">
        <v>45284</v>
      </c>
      <c r="C326" s="1">
        <v>45285</v>
      </c>
      <c r="D326" t="s">
        <v>65</v>
      </c>
      <c r="E326" t="s">
        <v>200</v>
      </c>
      <c r="F326" t="s">
        <v>35</v>
      </c>
      <c r="G326" t="s">
        <v>111</v>
      </c>
      <c r="H326" t="s">
        <v>129</v>
      </c>
      <c r="I326" t="s">
        <v>22</v>
      </c>
      <c r="J326" t="s">
        <v>115</v>
      </c>
      <c r="K326" t="s">
        <v>147</v>
      </c>
      <c r="L326">
        <v>6</v>
      </c>
      <c r="M326">
        <v>205.96</v>
      </c>
      <c r="N326">
        <v>0</v>
      </c>
      <c r="O326">
        <v>1235.76</v>
      </c>
      <c r="P326">
        <v>389.77</v>
      </c>
    </row>
    <row r="327" spans="1:16" x14ac:dyDescent="0.35">
      <c r="A327" t="s">
        <v>604</v>
      </c>
      <c r="B327" s="1">
        <v>44952</v>
      </c>
      <c r="C327" s="1">
        <v>44957</v>
      </c>
      <c r="D327" t="s">
        <v>44</v>
      </c>
      <c r="E327" t="s">
        <v>400</v>
      </c>
      <c r="F327" t="s">
        <v>27</v>
      </c>
      <c r="G327" t="s">
        <v>90</v>
      </c>
      <c r="H327" t="s">
        <v>73</v>
      </c>
      <c r="I327" t="s">
        <v>22</v>
      </c>
      <c r="J327" t="s">
        <v>74</v>
      </c>
      <c r="K327" t="s">
        <v>253</v>
      </c>
      <c r="L327">
        <v>11</v>
      </c>
      <c r="M327">
        <v>370.42</v>
      </c>
      <c r="N327">
        <v>0</v>
      </c>
      <c r="O327">
        <v>4074.62</v>
      </c>
      <c r="P327">
        <v>-518.80999999999995</v>
      </c>
    </row>
    <row r="328" spans="1:16" x14ac:dyDescent="0.35">
      <c r="A328" t="s">
        <v>605</v>
      </c>
      <c r="B328" s="1">
        <v>45132</v>
      </c>
      <c r="C328" s="1">
        <v>45138</v>
      </c>
      <c r="D328" t="s">
        <v>59</v>
      </c>
      <c r="E328" t="s">
        <v>492</v>
      </c>
      <c r="F328" t="s">
        <v>35</v>
      </c>
      <c r="G328" t="s">
        <v>332</v>
      </c>
      <c r="H328" t="s">
        <v>46</v>
      </c>
      <c r="I328" t="s">
        <v>30</v>
      </c>
      <c r="J328" t="s">
        <v>47</v>
      </c>
      <c r="K328" t="s">
        <v>48</v>
      </c>
      <c r="L328">
        <v>3</v>
      </c>
      <c r="M328">
        <v>566.36</v>
      </c>
      <c r="N328">
        <v>0</v>
      </c>
      <c r="O328">
        <v>1699.08</v>
      </c>
      <c r="P328">
        <v>304.14999999999998</v>
      </c>
    </row>
    <row r="329" spans="1:16" x14ac:dyDescent="0.35">
      <c r="A329" t="s">
        <v>606</v>
      </c>
      <c r="B329" s="1">
        <v>45011</v>
      </c>
      <c r="C329" s="1">
        <v>45012</v>
      </c>
      <c r="D329" t="s">
        <v>65</v>
      </c>
      <c r="E329" t="s">
        <v>474</v>
      </c>
      <c r="F329" t="s">
        <v>35</v>
      </c>
      <c r="G329" t="s">
        <v>103</v>
      </c>
      <c r="H329" t="s">
        <v>73</v>
      </c>
      <c r="I329" t="s">
        <v>30</v>
      </c>
      <c r="J329" t="s">
        <v>31</v>
      </c>
      <c r="K329" t="s">
        <v>57</v>
      </c>
      <c r="L329">
        <v>10</v>
      </c>
      <c r="M329">
        <v>265.83</v>
      </c>
      <c r="N329">
        <v>0.3</v>
      </c>
      <c r="O329">
        <v>2658.3</v>
      </c>
      <c r="P329">
        <v>300.5</v>
      </c>
    </row>
    <row r="330" spans="1:16" x14ac:dyDescent="0.35">
      <c r="A330" t="s">
        <v>607</v>
      </c>
      <c r="B330" s="1">
        <v>45317</v>
      </c>
      <c r="C330" s="1">
        <v>45323</v>
      </c>
      <c r="D330" t="s">
        <v>17</v>
      </c>
      <c r="E330" t="s">
        <v>207</v>
      </c>
      <c r="F330" t="s">
        <v>27</v>
      </c>
      <c r="G330" t="s">
        <v>288</v>
      </c>
      <c r="H330" t="s">
        <v>129</v>
      </c>
      <c r="I330" t="s">
        <v>30</v>
      </c>
      <c r="J330" t="s">
        <v>41</v>
      </c>
      <c r="K330" t="s">
        <v>124</v>
      </c>
      <c r="L330">
        <v>12</v>
      </c>
      <c r="M330">
        <v>390.17</v>
      </c>
      <c r="N330">
        <v>0</v>
      </c>
      <c r="O330">
        <v>4682.04</v>
      </c>
      <c r="P330">
        <v>467.46</v>
      </c>
    </row>
    <row r="331" spans="1:16" x14ac:dyDescent="0.35">
      <c r="A331" t="s">
        <v>608</v>
      </c>
      <c r="B331" s="1">
        <v>45502</v>
      </c>
      <c r="C331" s="1">
        <v>45503</v>
      </c>
      <c r="D331" t="s">
        <v>44</v>
      </c>
      <c r="E331" t="s">
        <v>469</v>
      </c>
      <c r="F331" t="s">
        <v>19</v>
      </c>
      <c r="G331" t="s">
        <v>128</v>
      </c>
      <c r="H331" t="s">
        <v>112</v>
      </c>
      <c r="I331" t="s">
        <v>22</v>
      </c>
      <c r="J331" t="s">
        <v>23</v>
      </c>
      <c r="K331" t="s">
        <v>178</v>
      </c>
      <c r="L331">
        <v>12</v>
      </c>
      <c r="M331">
        <v>549.07000000000005</v>
      </c>
      <c r="N331">
        <v>0.3</v>
      </c>
      <c r="O331">
        <v>6588.84</v>
      </c>
      <c r="P331">
        <v>1844.59</v>
      </c>
    </row>
    <row r="332" spans="1:16" x14ac:dyDescent="0.35">
      <c r="A332" t="s">
        <v>609</v>
      </c>
      <c r="B332" s="1">
        <v>45431</v>
      </c>
      <c r="C332" s="1">
        <v>45435</v>
      </c>
      <c r="D332" t="s">
        <v>65</v>
      </c>
      <c r="E332" t="s">
        <v>139</v>
      </c>
      <c r="F332" t="s">
        <v>35</v>
      </c>
      <c r="G332" t="s">
        <v>103</v>
      </c>
      <c r="H332" t="s">
        <v>62</v>
      </c>
      <c r="I332" t="s">
        <v>22</v>
      </c>
      <c r="J332" t="s">
        <v>37</v>
      </c>
      <c r="K332" t="s">
        <v>38</v>
      </c>
      <c r="L332">
        <v>4</v>
      </c>
      <c r="M332">
        <v>406.41</v>
      </c>
      <c r="N332">
        <v>0</v>
      </c>
      <c r="O332">
        <v>1625.64</v>
      </c>
      <c r="P332">
        <v>376.14</v>
      </c>
    </row>
    <row r="333" spans="1:16" x14ac:dyDescent="0.35">
      <c r="A333" t="s">
        <v>610</v>
      </c>
      <c r="B333" s="1">
        <v>45193</v>
      </c>
      <c r="C333" s="1">
        <v>45196</v>
      </c>
      <c r="D333" t="s">
        <v>44</v>
      </c>
      <c r="E333" t="s">
        <v>437</v>
      </c>
      <c r="F333" t="s">
        <v>35</v>
      </c>
      <c r="G333" t="s">
        <v>211</v>
      </c>
      <c r="H333" t="s">
        <v>159</v>
      </c>
      <c r="I333" t="s">
        <v>22</v>
      </c>
      <c r="J333" t="s">
        <v>115</v>
      </c>
      <c r="K333" t="s">
        <v>133</v>
      </c>
      <c r="L333">
        <v>8</v>
      </c>
      <c r="M333">
        <v>488.18</v>
      </c>
      <c r="N333">
        <v>0</v>
      </c>
      <c r="O333">
        <v>3905.44</v>
      </c>
      <c r="P333">
        <v>456.24</v>
      </c>
    </row>
    <row r="334" spans="1:16" x14ac:dyDescent="0.35">
      <c r="A334" t="s">
        <v>611</v>
      </c>
      <c r="B334" s="1">
        <v>45651</v>
      </c>
      <c r="C334" s="1">
        <v>45656</v>
      </c>
      <c r="D334" t="s">
        <v>17</v>
      </c>
      <c r="E334" t="s">
        <v>207</v>
      </c>
      <c r="F334" t="s">
        <v>19</v>
      </c>
      <c r="G334" t="s">
        <v>45</v>
      </c>
      <c r="H334" t="s">
        <v>46</v>
      </c>
      <c r="I334" t="s">
        <v>30</v>
      </c>
      <c r="J334" t="s">
        <v>99</v>
      </c>
      <c r="K334" t="s">
        <v>154</v>
      </c>
      <c r="L334">
        <v>4</v>
      </c>
      <c r="M334">
        <v>589.01</v>
      </c>
      <c r="N334">
        <v>0</v>
      </c>
      <c r="O334">
        <v>2356.04</v>
      </c>
      <c r="P334">
        <v>-3.63</v>
      </c>
    </row>
    <row r="335" spans="1:16" x14ac:dyDescent="0.35">
      <c r="A335" t="s">
        <v>612</v>
      </c>
      <c r="B335" s="1">
        <v>45378</v>
      </c>
      <c r="C335" s="1">
        <v>45382</v>
      </c>
      <c r="D335" t="s">
        <v>65</v>
      </c>
      <c r="E335" t="s">
        <v>613</v>
      </c>
      <c r="F335" t="s">
        <v>19</v>
      </c>
      <c r="G335" t="s">
        <v>332</v>
      </c>
      <c r="H335" t="s">
        <v>123</v>
      </c>
      <c r="I335" t="s">
        <v>22</v>
      </c>
      <c r="J335" t="s">
        <v>23</v>
      </c>
      <c r="K335" t="s">
        <v>289</v>
      </c>
      <c r="L335">
        <v>5</v>
      </c>
      <c r="M335">
        <v>88.54</v>
      </c>
      <c r="N335">
        <v>0</v>
      </c>
      <c r="O335">
        <v>442.7</v>
      </c>
      <c r="P335">
        <v>-10.98</v>
      </c>
    </row>
    <row r="336" spans="1:16" x14ac:dyDescent="0.35">
      <c r="A336" t="s">
        <v>614</v>
      </c>
      <c r="B336" s="1">
        <v>45447</v>
      </c>
      <c r="C336" s="1">
        <v>45453</v>
      </c>
      <c r="D336" t="s">
        <v>59</v>
      </c>
      <c r="E336" t="s">
        <v>615</v>
      </c>
      <c r="F336" t="s">
        <v>19</v>
      </c>
      <c r="G336" t="s">
        <v>61</v>
      </c>
      <c r="H336" t="s">
        <v>62</v>
      </c>
      <c r="I336" t="s">
        <v>22</v>
      </c>
      <c r="J336" t="s">
        <v>23</v>
      </c>
      <c r="K336" t="s">
        <v>24</v>
      </c>
      <c r="L336">
        <v>9</v>
      </c>
      <c r="M336">
        <v>286.3</v>
      </c>
      <c r="N336">
        <v>0</v>
      </c>
      <c r="O336">
        <v>2576.6999999999998</v>
      </c>
      <c r="P336">
        <v>100.46</v>
      </c>
    </row>
    <row r="337" spans="1:16" x14ac:dyDescent="0.35">
      <c r="A337" t="s">
        <v>616</v>
      </c>
      <c r="B337" s="1">
        <v>45394</v>
      </c>
      <c r="C337" s="1">
        <v>45396</v>
      </c>
      <c r="D337" t="s">
        <v>59</v>
      </c>
      <c r="E337" t="s">
        <v>617</v>
      </c>
      <c r="F337" t="s">
        <v>19</v>
      </c>
      <c r="G337" t="s">
        <v>72</v>
      </c>
      <c r="H337" t="s">
        <v>62</v>
      </c>
      <c r="I337" t="s">
        <v>22</v>
      </c>
      <c r="J337" t="s">
        <v>115</v>
      </c>
      <c r="K337" t="s">
        <v>147</v>
      </c>
      <c r="L337">
        <v>12</v>
      </c>
      <c r="M337">
        <v>759.13</v>
      </c>
      <c r="N337">
        <v>0.15</v>
      </c>
      <c r="O337">
        <v>9109.56</v>
      </c>
      <c r="P337">
        <v>165.67</v>
      </c>
    </row>
    <row r="338" spans="1:16" x14ac:dyDescent="0.35">
      <c r="A338" t="s">
        <v>618</v>
      </c>
      <c r="B338" s="1">
        <v>45117</v>
      </c>
      <c r="C338" s="1">
        <v>45124</v>
      </c>
      <c r="D338" t="s">
        <v>65</v>
      </c>
      <c r="E338" t="s">
        <v>551</v>
      </c>
      <c r="F338" t="s">
        <v>35</v>
      </c>
      <c r="G338" t="s">
        <v>61</v>
      </c>
      <c r="H338" t="s">
        <v>62</v>
      </c>
      <c r="I338" t="s">
        <v>22</v>
      </c>
      <c r="J338" t="s">
        <v>115</v>
      </c>
      <c r="K338" t="s">
        <v>116</v>
      </c>
      <c r="L338">
        <v>7</v>
      </c>
      <c r="M338">
        <v>336.35</v>
      </c>
      <c r="N338">
        <v>0</v>
      </c>
      <c r="O338">
        <v>2354.4499999999998</v>
      </c>
      <c r="P338">
        <v>23.73</v>
      </c>
    </row>
    <row r="339" spans="1:16" x14ac:dyDescent="0.35">
      <c r="A339" t="s">
        <v>619</v>
      </c>
      <c r="B339" s="1">
        <v>45017</v>
      </c>
      <c r="C339" s="1">
        <v>45019</v>
      </c>
      <c r="D339" t="s">
        <v>44</v>
      </c>
      <c r="E339" t="s">
        <v>71</v>
      </c>
      <c r="F339" t="s">
        <v>27</v>
      </c>
      <c r="G339" t="s">
        <v>61</v>
      </c>
      <c r="H339" t="s">
        <v>62</v>
      </c>
      <c r="I339" t="s">
        <v>52</v>
      </c>
      <c r="J339" t="s">
        <v>78</v>
      </c>
      <c r="K339" t="s">
        <v>79</v>
      </c>
      <c r="L339">
        <v>1</v>
      </c>
      <c r="M339">
        <v>482.74</v>
      </c>
      <c r="N339">
        <v>0.2</v>
      </c>
      <c r="O339">
        <v>482.74</v>
      </c>
      <c r="P339">
        <v>17.64</v>
      </c>
    </row>
    <row r="340" spans="1:16" x14ac:dyDescent="0.35">
      <c r="A340" t="s">
        <v>620</v>
      </c>
      <c r="B340" s="1">
        <v>45097</v>
      </c>
      <c r="C340" s="1">
        <v>45101</v>
      </c>
      <c r="D340" t="s">
        <v>17</v>
      </c>
      <c r="E340" t="s">
        <v>621</v>
      </c>
      <c r="F340" t="s">
        <v>35</v>
      </c>
      <c r="G340" t="s">
        <v>181</v>
      </c>
      <c r="H340" t="s">
        <v>123</v>
      </c>
      <c r="I340" t="s">
        <v>52</v>
      </c>
      <c r="J340" t="s">
        <v>53</v>
      </c>
      <c r="K340" t="s">
        <v>54</v>
      </c>
      <c r="L340">
        <v>9</v>
      </c>
      <c r="M340">
        <v>689.67</v>
      </c>
      <c r="N340">
        <v>0</v>
      </c>
      <c r="O340">
        <v>6207.03</v>
      </c>
      <c r="P340">
        <v>-608.51</v>
      </c>
    </row>
    <row r="341" spans="1:16" x14ac:dyDescent="0.35">
      <c r="A341" t="s">
        <v>622</v>
      </c>
      <c r="B341" s="1">
        <v>45603</v>
      </c>
      <c r="C341" s="1">
        <v>45606</v>
      </c>
      <c r="D341" t="s">
        <v>44</v>
      </c>
      <c r="E341" t="s">
        <v>276</v>
      </c>
      <c r="F341" t="s">
        <v>19</v>
      </c>
      <c r="G341" t="s">
        <v>45</v>
      </c>
      <c r="H341" t="s">
        <v>46</v>
      </c>
      <c r="I341" t="s">
        <v>22</v>
      </c>
      <c r="J341" t="s">
        <v>37</v>
      </c>
      <c r="K341" t="s">
        <v>144</v>
      </c>
      <c r="L341">
        <v>4</v>
      </c>
      <c r="M341">
        <v>18.37</v>
      </c>
      <c r="N341">
        <v>0.1</v>
      </c>
      <c r="O341">
        <v>73.48</v>
      </c>
      <c r="P341">
        <v>18.690000000000001</v>
      </c>
    </row>
    <row r="342" spans="1:16" x14ac:dyDescent="0.35">
      <c r="A342" t="s">
        <v>623</v>
      </c>
      <c r="B342" s="1">
        <v>45560</v>
      </c>
      <c r="C342" s="1">
        <v>45567</v>
      </c>
      <c r="D342" t="s">
        <v>65</v>
      </c>
      <c r="E342" t="s">
        <v>312</v>
      </c>
      <c r="F342" t="s">
        <v>27</v>
      </c>
      <c r="G342" t="s">
        <v>67</v>
      </c>
      <c r="H342" t="s">
        <v>21</v>
      </c>
      <c r="I342" t="s">
        <v>22</v>
      </c>
      <c r="J342" t="s">
        <v>74</v>
      </c>
      <c r="K342" t="s">
        <v>165</v>
      </c>
      <c r="L342">
        <v>2</v>
      </c>
      <c r="M342">
        <v>770.51</v>
      </c>
      <c r="N342">
        <v>0.3</v>
      </c>
      <c r="O342">
        <v>1541.02</v>
      </c>
      <c r="P342">
        <v>-153.33000000000001</v>
      </c>
    </row>
    <row r="343" spans="1:16" x14ac:dyDescent="0.35">
      <c r="A343" t="s">
        <v>624</v>
      </c>
      <c r="B343" s="1">
        <v>45156</v>
      </c>
      <c r="C343" s="1">
        <v>45157</v>
      </c>
      <c r="D343" t="s">
        <v>44</v>
      </c>
      <c r="E343" t="s">
        <v>625</v>
      </c>
      <c r="F343" t="s">
        <v>19</v>
      </c>
      <c r="G343" t="s">
        <v>107</v>
      </c>
      <c r="H343" t="s">
        <v>123</v>
      </c>
      <c r="I343" t="s">
        <v>52</v>
      </c>
      <c r="J343" t="s">
        <v>78</v>
      </c>
      <c r="K343" t="s">
        <v>198</v>
      </c>
      <c r="L343">
        <v>4</v>
      </c>
      <c r="M343">
        <v>653.08000000000004</v>
      </c>
      <c r="N343">
        <v>0.3</v>
      </c>
      <c r="O343">
        <v>2612.3200000000002</v>
      </c>
      <c r="P343">
        <v>89.97</v>
      </c>
    </row>
    <row r="344" spans="1:16" x14ac:dyDescent="0.35">
      <c r="A344" t="s">
        <v>626</v>
      </c>
      <c r="B344" s="1">
        <v>45307</v>
      </c>
      <c r="C344" s="1">
        <v>45309</v>
      </c>
      <c r="D344" t="s">
        <v>59</v>
      </c>
      <c r="F344" t="s">
        <v>27</v>
      </c>
      <c r="G344" t="s">
        <v>67</v>
      </c>
      <c r="H344" t="s">
        <v>21</v>
      </c>
      <c r="I344" t="s">
        <v>30</v>
      </c>
      <c r="J344" t="s">
        <v>47</v>
      </c>
      <c r="K344" t="s">
        <v>63</v>
      </c>
      <c r="L344">
        <v>2</v>
      </c>
      <c r="M344">
        <v>240.34</v>
      </c>
      <c r="N344">
        <v>0.15</v>
      </c>
      <c r="O344">
        <v>480.68</v>
      </c>
      <c r="P344">
        <v>78.72</v>
      </c>
    </row>
    <row r="345" spans="1:16" x14ac:dyDescent="0.35">
      <c r="A345" t="s">
        <v>627</v>
      </c>
      <c r="B345" s="1">
        <v>45072</v>
      </c>
      <c r="C345" s="1">
        <v>45077</v>
      </c>
      <c r="D345" t="s">
        <v>65</v>
      </c>
      <c r="E345" t="s">
        <v>628</v>
      </c>
      <c r="F345" t="s">
        <v>27</v>
      </c>
      <c r="G345" t="s">
        <v>67</v>
      </c>
      <c r="H345" t="s">
        <v>36</v>
      </c>
      <c r="I345" t="s">
        <v>52</v>
      </c>
      <c r="J345" t="s">
        <v>78</v>
      </c>
      <c r="K345" t="s">
        <v>198</v>
      </c>
      <c r="L345">
        <v>9</v>
      </c>
      <c r="M345">
        <v>676.07</v>
      </c>
      <c r="N345">
        <v>0.2</v>
      </c>
      <c r="O345">
        <v>6084.63</v>
      </c>
      <c r="P345">
        <v>1935.93</v>
      </c>
    </row>
    <row r="346" spans="1:16" x14ac:dyDescent="0.35">
      <c r="A346" t="s">
        <v>629</v>
      </c>
      <c r="B346" s="1">
        <v>45136</v>
      </c>
      <c r="C346" s="1">
        <v>45142</v>
      </c>
      <c r="D346" t="s">
        <v>59</v>
      </c>
      <c r="E346" t="s">
        <v>221</v>
      </c>
      <c r="F346" t="s">
        <v>19</v>
      </c>
      <c r="G346" t="s">
        <v>107</v>
      </c>
      <c r="H346" t="s">
        <v>83</v>
      </c>
      <c r="I346" t="s">
        <v>22</v>
      </c>
      <c r="J346" t="s">
        <v>37</v>
      </c>
      <c r="K346" t="s">
        <v>144</v>
      </c>
      <c r="L346">
        <v>6</v>
      </c>
      <c r="M346">
        <v>581.02</v>
      </c>
      <c r="N346">
        <v>0.3</v>
      </c>
      <c r="O346">
        <v>3486.12</v>
      </c>
      <c r="P346">
        <v>-453.88</v>
      </c>
    </row>
    <row r="347" spans="1:16" x14ac:dyDescent="0.35">
      <c r="A347" t="s">
        <v>630</v>
      </c>
      <c r="B347" s="1">
        <v>45186</v>
      </c>
      <c r="C347" s="1">
        <v>45191</v>
      </c>
      <c r="D347" t="s">
        <v>65</v>
      </c>
      <c r="E347" t="s">
        <v>631</v>
      </c>
      <c r="F347" t="s">
        <v>27</v>
      </c>
      <c r="G347" t="s">
        <v>61</v>
      </c>
      <c r="H347" t="s">
        <v>62</v>
      </c>
      <c r="I347" t="s">
        <v>52</v>
      </c>
      <c r="J347" t="s">
        <v>68</v>
      </c>
      <c r="K347" t="s">
        <v>69</v>
      </c>
      <c r="L347">
        <v>10</v>
      </c>
      <c r="M347">
        <v>165.54</v>
      </c>
      <c r="N347">
        <v>0</v>
      </c>
      <c r="O347">
        <v>1655.4</v>
      </c>
      <c r="P347">
        <v>168.64</v>
      </c>
    </row>
    <row r="348" spans="1:16" x14ac:dyDescent="0.35">
      <c r="A348" t="s">
        <v>632</v>
      </c>
      <c r="B348" s="1">
        <v>45204</v>
      </c>
      <c r="C348" s="1">
        <v>45208</v>
      </c>
      <c r="D348" t="s">
        <v>59</v>
      </c>
      <c r="E348" t="s">
        <v>151</v>
      </c>
      <c r="F348" t="s">
        <v>35</v>
      </c>
      <c r="G348" t="s">
        <v>51</v>
      </c>
      <c r="H348" t="s">
        <v>21</v>
      </c>
      <c r="I348" t="s">
        <v>30</v>
      </c>
      <c r="J348" t="s">
        <v>99</v>
      </c>
      <c r="K348" t="s">
        <v>247</v>
      </c>
      <c r="L348">
        <v>7</v>
      </c>
      <c r="M348">
        <v>404.79</v>
      </c>
      <c r="N348">
        <v>0.3</v>
      </c>
      <c r="O348">
        <v>2833.53</v>
      </c>
      <c r="P348">
        <v>687.9</v>
      </c>
    </row>
    <row r="349" spans="1:16" x14ac:dyDescent="0.35">
      <c r="A349" t="s">
        <v>633</v>
      </c>
      <c r="B349" s="1">
        <v>44951</v>
      </c>
      <c r="C349" s="1">
        <v>44957</v>
      </c>
      <c r="D349" t="s">
        <v>44</v>
      </c>
      <c r="E349" t="s">
        <v>169</v>
      </c>
      <c r="F349" t="s">
        <v>35</v>
      </c>
      <c r="G349" t="s">
        <v>187</v>
      </c>
      <c r="H349" t="s">
        <v>29</v>
      </c>
      <c r="I349" t="s">
        <v>52</v>
      </c>
      <c r="J349" t="s">
        <v>160</v>
      </c>
      <c r="K349" t="s">
        <v>634</v>
      </c>
      <c r="L349">
        <v>7</v>
      </c>
      <c r="M349">
        <v>613.16999999999996</v>
      </c>
      <c r="N349">
        <v>0.3</v>
      </c>
      <c r="O349">
        <v>4292.1899999999996</v>
      </c>
      <c r="P349">
        <v>506.94</v>
      </c>
    </row>
    <row r="350" spans="1:16" x14ac:dyDescent="0.35">
      <c r="A350" t="s">
        <v>635</v>
      </c>
      <c r="B350" s="1">
        <v>45161</v>
      </c>
      <c r="C350" s="1">
        <v>45163</v>
      </c>
      <c r="D350" t="s">
        <v>59</v>
      </c>
      <c r="E350" t="s">
        <v>558</v>
      </c>
      <c r="F350" t="s">
        <v>27</v>
      </c>
      <c r="G350" t="s">
        <v>86</v>
      </c>
      <c r="H350" t="s">
        <v>159</v>
      </c>
      <c r="I350" t="s">
        <v>30</v>
      </c>
      <c r="J350" t="s">
        <v>41</v>
      </c>
      <c r="K350" t="s">
        <v>42</v>
      </c>
      <c r="L350">
        <v>1</v>
      </c>
      <c r="M350">
        <v>689</v>
      </c>
      <c r="O350">
        <v>689</v>
      </c>
      <c r="P350">
        <v>226.68</v>
      </c>
    </row>
    <row r="351" spans="1:16" x14ac:dyDescent="0.35">
      <c r="A351" t="s">
        <v>636</v>
      </c>
      <c r="B351" s="1">
        <v>45473</v>
      </c>
      <c r="C351" s="1">
        <v>45478</v>
      </c>
      <c r="D351" t="s">
        <v>59</v>
      </c>
      <c r="E351" t="s">
        <v>637</v>
      </c>
      <c r="F351" t="s">
        <v>35</v>
      </c>
      <c r="G351" t="s">
        <v>82</v>
      </c>
      <c r="H351" t="s">
        <v>83</v>
      </c>
      <c r="I351" t="s">
        <v>30</v>
      </c>
      <c r="J351" t="s">
        <v>41</v>
      </c>
      <c r="K351" t="s">
        <v>105</v>
      </c>
      <c r="L351">
        <v>12</v>
      </c>
      <c r="M351">
        <v>274.39</v>
      </c>
      <c r="N351">
        <v>0</v>
      </c>
      <c r="O351">
        <v>3292.68</v>
      </c>
      <c r="P351">
        <v>746.93</v>
      </c>
    </row>
    <row r="352" spans="1:16" x14ac:dyDescent="0.35">
      <c r="A352" t="s">
        <v>638</v>
      </c>
      <c r="B352" s="1">
        <v>45582</v>
      </c>
      <c r="C352" s="1">
        <v>45587</v>
      </c>
      <c r="D352" t="s">
        <v>59</v>
      </c>
      <c r="E352" t="s">
        <v>98</v>
      </c>
      <c r="F352" t="s">
        <v>19</v>
      </c>
      <c r="G352" t="s">
        <v>181</v>
      </c>
      <c r="H352" t="s">
        <v>46</v>
      </c>
      <c r="I352" t="s">
        <v>30</v>
      </c>
      <c r="J352" t="s">
        <v>41</v>
      </c>
      <c r="K352" t="s">
        <v>124</v>
      </c>
      <c r="L352">
        <v>8</v>
      </c>
      <c r="M352">
        <v>611.39</v>
      </c>
      <c r="N352">
        <v>0.1</v>
      </c>
      <c r="O352">
        <v>4891.12</v>
      </c>
      <c r="P352">
        <v>612.16</v>
      </c>
    </row>
    <row r="353" spans="1:16" x14ac:dyDescent="0.35">
      <c r="A353" t="s">
        <v>639</v>
      </c>
      <c r="B353" s="1">
        <v>45231</v>
      </c>
      <c r="C353" s="1">
        <v>45233</v>
      </c>
      <c r="D353" t="s">
        <v>59</v>
      </c>
      <c r="E353" t="s">
        <v>640</v>
      </c>
      <c r="F353" t="s">
        <v>35</v>
      </c>
      <c r="G353" t="s">
        <v>107</v>
      </c>
      <c r="H353" t="s">
        <v>46</v>
      </c>
      <c r="I353" t="s">
        <v>22</v>
      </c>
      <c r="J353" t="s">
        <v>23</v>
      </c>
      <c r="K353" t="s">
        <v>24</v>
      </c>
      <c r="L353">
        <v>4</v>
      </c>
      <c r="M353">
        <v>98.16</v>
      </c>
      <c r="N353">
        <v>0.3</v>
      </c>
      <c r="O353">
        <v>392.64</v>
      </c>
      <c r="P353">
        <v>-9.4499999999999993</v>
      </c>
    </row>
    <row r="354" spans="1:16" x14ac:dyDescent="0.35">
      <c r="A354" t="s">
        <v>641</v>
      </c>
      <c r="B354" s="1">
        <v>44969</v>
      </c>
      <c r="C354" s="1">
        <v>44975</v>
      </c>
      <c r="D354" t="s">
        <v>65</v>
      </c>
      <c r="E354" t="s">
        <v>158</v>
      </c>
      <c r="F354" t="s">
        <v>27</v>
      </c>
      <c r="G354" t="s">
        <v>72</v>
      </c>
      <c r="H354" t="s">
        <v>73</v>
      </c>
      <c r="I354" t="s">
        <v>22</v>
      </c>
      <c r="J354" t="s">
        <v>115</v>
      </c>
      <c r="K354" t="s">
        <v>147</v>
      </c>
      <c r="L354">
        <v>3</v>
      </c>
      <c r="M354">
        <v>310.51</v>
      </c>
      <c r="N354">
        <v>0</v>
      </c>
      <c r="O354">
        <v>931.53</v>
      </c>
      <c r="P354">
        <v>289.63</v>
      </c>
    </row>
    <row r="355" spans="1:16" x14ac:dyDescent="0.35">
      <c r="A355" t="s">
        <v>642</v>
      </c>
      <c r="B355" s="1">
        <v>45649</v>
      </c>
      <c r="C355" s="1">
        <v>45652</v>
      </c>
      <c r="D355" t="s">
        <v>17</v>
      </c>
      <c r="E355" t="s">
        <v>363</v>
      </c>
      <c r="F355" t="s">
        <v>35</v>
      </c>
      <c r="G355" t="s">
        <v>132</v>
      </c>
      <c r="H355" t="s">
        <v>129</v>
      </c>
      <c r="I355" t="s">
        <v>30</v>
      </c>
      <c r="J355" t="s">
        <v>31</v>
      </c>
      <c r="K355" t="s">
        <v>87</v>
      </c>
      <c r="L355">
        <v>4</v>
      </c>
      <c r="M355">
        <v>830.07</v>
      </c>
      <c r="N355">
        <v>0.15</v>
      </c>
      <c r="O355">
        <v>3320.28</v>
      </c>
      <c r="P355">
        <v>740.91</v>
      </c>
    </row>
    <row r="356" spans="1:16" x14ac:dyDescent="0.35">
      <c r="A356" t="s">
        <v>643</v>
      </c>
      <c r="B356" s="1">
        <v>45100</v>
      </c>
      <c r="C356" s="1">
        <v>45107</v>
      </c>
      <c r="D356" t="s">
        <v>44</v>
      </c>
      <c r="E356" t="s">
        <v>375</v>
      </c>
      <c r="F356" t="s">
        <v>19</v>
      </c>
      <c r="G356" t="s">
        <v>61</v>
      </c>
      <c r="H356" t="s">
        <v>73</v>
      </c>
      <c r="I356" t="s">
        <v>52</v>
      </c>
      <c r="J356" t="s">
        <v>78</v>
      </c>
      <c r="K356" t="s">
        <v>198</v>
      </c>
      <c r="L356">
        <v>4</v>
      </c>
      <c r="M356">
        <v>281.83</v>
      </c>
      <c r="N356">
        <v>0</v>
      </c>
      <c r="O356">
        <v>1127.32</v>
      </c>
      <c r="P356">
        <v>-84.5</v>
      </c>
    </row>
    <row r="357" spans="1:16" x14ac:dyDescent="0.35">
      <c r="A357" t="s">
        <v>644</v>
      </c>
      <c r="B357" s="1">
        <v>45556</v>
      </c>
      <c r="C357" s="1">
        <v>45563</v>
      </c>
      <c r="D357" t="s">
        <v>17</v>
      </c>
      <c r="E357" t="s">
        <v>408</v>
      </c>
      <c r="F357" t="s">
        <v>19</v>
      </c>
      <c r="G357" t="s">
        <v>61</v>
      </c>
      <c r="H357" t="s">
        <v>73</v>
      </c>
      <c r="I357" t="s">
        <v>30</v>
      </c>
      <c r="J357" t="s">
        <v>47</v>
      </c>
      <c r="K357" t="s">
        <v>63</v>
      </c>
      <c r="L357">
        <v>10</v>
      </c>
      <c r="M357">
        <v>32.67</v>
      </c>
      <c r="N357">
        <v>0</v>
      </c>
      <c r="O357">
        <v>326.7</v>
      </c>
      <c r="P357">
        <v>42.75</v>
      </c>
    </row>
    <row r="358" spans="1:16" x14ac:dyDescent="0.35">
      <c r="A358" t="s">
        <v>645</v>
      </c>
      <c r="B358" s="1">
        <v>45645</v>
      </c>
      <c r="C358" s="1">
        <v>45649</v>
      </c>
      <c r="D358" t="s">
        <v>44</v>
      </c>
      <c r="E358" t="s">
        <v>373</v>
      </c>
      <c r="F358" t="s">
        <v>19</v>
      </c>
      <c r="G358" t="s">
        <v>72</v>
      </c>
      <c r="H358" t="s">
        <v>73</v>
      </c>
      <c r="I358" t="s">
        <v>52</v>
      </c>
      <c r="J358" t="s">
        <v>160</v>
      </c>
      <c r="K358" t="s">
        <v>161</v>
      </c>
      <c r="L358">
        <v>4</v>
      </c>
      <c r="M358">
        <v>312.10000000000002</v>
      </c>
      <c r="N358">
        <v>0</v>
      </c>
      <c r="O358">
        <v>1248.4000000000001</v>
      </c>
      <c r="P358">
        <v>-38.590000000000003</v>
      </c>
    </row>
    <row r="359" spans="1:16" x14ac:dyDescent="0.35">
      <c r="A359" t="s">
        <v>646</v>
      </c>
      <c r="B359" s="1">
        <v>45501</v>
      </c>
      <c r="C359" s="1">
        <v>45505</v>
      </c>
      <c r="D359" t="s">
        <v>65</v>
      </c>
      <c r="E359" t="s">
        <v>312</v>
      </c>
      <c r="F359" t="s">
        <v>27</v>
      </c>
      <c r="G359" t="s">
        <v>288</v>
      </c>
      <c r="H359" t="s">
        <v>112</v>
      </c>
      <c r="I359" t="s">
        <v>22</v>
      </c>
      <c r="J359" t="s">
        <v>37</v>
      </c>
      <c r="K359" t="s">
        <v>144</v>
      </c>
      <c r="L359">
        <v>-2</v>
      </c>
      <c r="M359">
        <v>382.9</v>
      </c>
      <c r="N359">
        <v>0</v>
      </c>
      <c r="O359" t="s">
        <v>219</v>
      </c>
      <c r="P359">
        <v>82.94</v>
      </c>
    </row>
    <row r="360" spans="1:16" x14ac:dyDescent="0.35">
      <c r="A360" t="s">
        <v>647</v>
      </c>
      <c r="B360" s="1">
        <v>45479</v>
      </c>
      <c r="C360" s="1">
        <v>45485</v>
      </c>
      <c r="D360" t="s">
        <v>59</v>
      </c>
      <c r="E360" t="s">
        <v>202</v>
      </c>
      <c r="F360" t="s">
        <v>19</v>
      </c>
      <c r="G360" t="s">
        <v>90</v>
      </c>
      <c r="H360" t="s">
        <v>73</v>
      </c>
      <c r="I360" t="s">
        <v>22</v>
      </c>
      <c r="J360" t="s">
        <v>74</v>
      </c>
      <c r="K360" t="s">
        <v>253</v>
      </c>
      <c r="L360">
        <v>2</v>
      </c>
      <c r="M360">
        <v>698.29</v>
      </c>
      <c r="N360">
        <v>0</v>
      </c>
      <c r="O360">
        <v>1396.58</v>
      </c>
      <c r="P360">
        <v>219.16</v>
      </c>
    </row>
    <row r="361" spans="1:16" x14ac:dyDescent="0.35">
      <c r="A361" t="s">
        <v>648</v>
      </c>
      <c r="B361" s="1">
        <v>45140</v>
      </c>
      <c r="C361" s="1">
        <v>45145</v>
      </c>
      <c r="D361" t="s">
        <v>44</v>
      </c>
      <c r="E361" t="s">
        <v>523</v>
      </c>
      <c r="F361" t="s">
        <v>27</v>
      </c>
      <c r="G361" t="s">
        <v>103</v>
      </c>
      <c r="H361" t="s">
        <v>73</v>
      </c>
      <c r="I361" t="s">
        <v>22</v>
      </c>
      <c r="J361" t="s">
        <v>37</v>
      </c>
      <c r="K361" t="s">
        <v>38</v>
      </c>
      <c r="L361">
        <v>5</v>
      </c>
      <c r="M361">
        <v>494.69</v>
      </c>
      <c r="N361">
        <v>0.3</v>
      </c>
      <c r="O361">
        <v>2473.4499999999998</v>
      </c>
      <c r="P361">
        <v>595.41999999999996</v>
      </c>
    </row>
    <row r="362" spans="1:16" x14ac:dyDescent="0.35">
      <c r="A362" t="s">
        <v>649</v>
      </c>
      <c r="B362" s="1">
        <v>45558</v>
      </c>
      <c r="C362" s="1">
        <v>45560</v>
      </c>
      <c r="D362" t="s">
        <v>17</v>
      </c>
      <c r="E362" t="s">
        <v>340</v>
      </c>
      <c r="F362" t="s">
        <v>35</v>
      </c>
      <c r="G362" t="s">
        <v>332</v>
      </c>
      <c r="H362" t="s">
        <v>83</v>
      </c>
      <c r="I362" t="s">
        <v>22</v>
      </c>
      <c r="J362" t="s">
        <v>115</v>
      </c>
      <c r="K362" t="s">
        <v>147</v>
      </c>
      <c r="L362">
        <v>1</v>
      </c>
      <c r="M362">
        <v>548.6</v>
      </c>
      <c r="N362">
        <v>0</v>
      </c>
      <c r="O362">
        <v>548.6</v>
      </c>
      <c r="P362">
        <v>102.73</v>
      </c>
    </row>
    <row r="363" spans="1:16" x14ac:dyDescent="0.35">
      <c r="A363" t="s">
        <v>650</v>
      </c>
      <c r="B363" s="1">
        <v>45192</v>
      </c>
      <c r="C363" s="1">
        <v>45195</v>
      </c>
      <c r="D363" t="s">
        <v>44</v>
      </c>
      <c r="E363" t="s">
        <v>651</v>
      </c>
      <c r="F363" t="s">
        <v>35</v>
      </c>
      <c r="G363" t="s">
        <v>82</v>
      </c>
      <c r="H363" t="s">
        <v>83</v>
      </c>
      <c r="I363" t="s">
        <v>22</v>
      </c>
      <c r="J363" t="s">
        <v>74</v>
      </c>
      <c r="K363" t="s">
        <v>253</v>
      </c>
      <c r="L363">
        <v>2</v>
      </c>
      <c r="M363">
        <v>74.34</v>
      </c>
      <c r="N363">
        <v>0.1</v>
      </c>
      <c r="O363">
        <v>148.68</v>
      </c>
      <c r="P363">
        <v>-13.89</v>
      </c>
    </row>
    <row r="364" spans="1:16" x14ac:dyDescent="0.35">
      <c r="A364" t="s">
        <v>652</v>
      </c>
      <c r="B364" s="1">
        <v>45215</v>
      </c>
      <c r="C364" s="1">
        <v>45222</v>
      </c>
      <c r="D364" t="s">
        <v>59</v>
      </c>
      <c r="E364" t="s">
        <v>476</v>
      </c>
      <c r="F364" t="s">
        <v>35</v>
      </c>
      <c r="H364" t="s">
        <v>46</v>
      </c>
      <c r="I364" t="s">
        <v>22</v>
      </c>
      <c r="J364" t="s">
        <v>37</v>
      </c>
      <c r="K364" t="s">
        <v>144</v>
      </c>
      <c r="L364">
        <v>7</v>
      </c>
      <c r="M364">
        <v>394.5</v>
      </c>
      <c r="N364">
        <v>0</v>
      </c>
      <c r="O364">
        <v>2761.5</v>
      </c>
      <c r="P364">
        <v>500.5</v>
      </c>
    </row>
    <row r="365" spans="1:16" x14ac:dyDescent="0.35">
      <c r="A365" t="s">
        <v>653</v>
      </c>
      <c r="B365" s="1">
        <v>45640</v>
      </c>
      <c r="C365" s="1">
        <v>45647</v>
      </c>
      <c r="D365" t="s">
        <v>44</v>
      </c>
      <c r="E365" t="s">
        <v>303</v>
      </c>
      <c r="F365" t="s">
        <v>35</v>
      </c>
      <c r="G365" t="s">
        <v>332</v>
      </c>
      <c r="H365" t="s">
        <v>46</v>
      </c>
      <c r="I365" t="s">
        <v>30</v>
      </c>
      <c r="J365" t="s">
        <v>41</v>
      </c>
      <c r="K365" t="s">
        <v>42</v>
      </c>
      <c r="L365">
        <v>3</v>
      </c>
      <c r="M365">
        <v>325.77</v>
      </c>
      <c r="N365">
        <v>0</v>
      </c>
      <c r="O365">
        <v>977.31</v>
      </c>
      <c r="P365">
        <v>169.88</v>
      </c>
    </row>
    <row r="366" spans="1:16" x14ac:dyDescent="0.35">
      <c r="A366" t="s">
        <v>654</v>
      </c>
      <c r="B366" s="1">
        <v>45040</v>
      </c>
      <c r="C366" s="1">
        <v>45047</v>
      </c>
      <c r="D366" t="s">
        <v>17</v>
      </c>
      <c r="E366" t="s">
        <v>299</v>
      </c>
      <c r="F366" t="s">
        <v>27</v>
      </c>
      <c r="G366" t="s">
        <v>86</v>
      </c>
      <c r="H366" t="s">
        <v>29</v>
      </c>
      <c r="I366" t="s">
        <v>22</v>
      </c>
      <c r="J366" t="s">
        <v>74</v>
      </c>
      <c r="K366" t="s">
        <v>75</v>
      </c>
      <c r="L366">
        <v>1</v>
      </c>
      <c r="M366">
        <v>561.57000000000005</v>
      </c>
      <c r="N366">
        <v>0.15</v>
      </c>
      <c r="O366">
        <v>561.57000000000005</v>
      </c>
      <c r="P366">
        <v>33.06</v>
      </c>
    </row>
    <row r="367" spans="1:16" x14ac:dyDescent="0.35">
      <c r="A367" t="s">
        <v>655</v>
      </c>
      <c r="B367" s="1">
        <v>45433</v>
      </c>
      <c r="C367" s="1">
        <v>45437</v>
      </c>
      <c r="D367" t="s">
        <v>65</v>
      </c>
      <c r="E367" t="s">
        <v>146</v>
      </c>
      <c r="F367" t="s">
        <v>35</v>
      </c>
      <c r="G367" t="s">
        <v>187</v>
      </c>
      <c r="H367" t="s">
        <v>159</v>
      </c>
      <c r="I367" t="s">
        <v>22</v>
      </c>
      <c r="J367" t="s">
        <v>23</v>
      </c>
      <c r="K367" t="s">
        <v>24</v>
      </c>
      <c r="L367">
        <v>3</v>
      </c>
      <c r="M367">
        <v>370.63</v>
      </c>
      <c r="N367">
        <v>0</v>
      </c>
      <c r="O367">
        <v>1111.8900000000001</v>
      </c>
      <c r="P367">
        <v>-150.79</v>
      </c>
    </row>
    <row r="368" spans="1:16" x14ac:dyDescent="0.35">
      <c r="A368" t="s">
        <v>656</v>
      </c>
      <c r="B368" s="1">
        <v>45141</v>
      </c>
      <c r="C368" s="1">
        <v>45142</v>
      </c>
      <c r="D368" t="s">
        <v>59</v>
      </c>
      <c r="E368" t="s">
        <v>521</v>
      </c>
      <c r="F368" t="s">
        <v>35</v>
      </c>
      <c r="G368" t="s">
        <v>128</v>
      </c>
      <c r="H368" t="s">
        <v>129</v>
      </c>
      <c r="I368" t="s">
        <v>52</v>
      </c>
      <c r="J368" t="s">
        <v>194</v>
      </c>
      <c r="K368" t="s">
        <v>361</v>
      </c>
      <c r="L368">
        <v>6</v>
      </c>
      <c r="M368">
        <v>432.79</v>
      </c>
      <c r="N368">
        <v>0.15</v>
      </c>
      <c r="O368">
        <v>2596.7399999999998</v>
      </c>
      <c r="P368">
        <v>-244.1</v>
      </c>
    </row>
    <row r="369" spans="1:16" x14ac:dyDescent="0.35">
      <c r="A369" t="s">
        <v>657</v>
      </c>
      <c r="B369" s="1">
        <v>45184</v>
      </c>
      <c r="C369" s="1">
        <v>45189</v>
      </c>
      <c r="D369" t="s">
        <v>65</v>
      </c>
      <c r="E369" t="s">
        <v>122</v>
      </c>
      <c r="F369" t="s">
        <v>19</v>
      </c>
      <c r="G369" t="s">
        <v>181</v>
      </c>
      <c r="H369" t="s">
        <v>83</v>
      </c>
      <c r="I369" t="s">
        <v>22</v>
      </c>
      <c r="J369" t="s">
        <v>115</v>
      </c>
      <c r="K369" t="s">
        <v>116</v>
      </c>
      <c r="L369">
        <v>5</v>
      </c>
      <c r="M369">
        <v>394.11</v>
      </c>
      <c r="N369">
        <v>0.1</v>
      </c>
      <c r="O369">
        <v>1970.55</v>
      </c>
      <c r="P369">
        <v>-292.38</v>
      </c>
    </row>
    <row r="370" spans="1:16" x14ac:dyDescent="0.35">
      <c r="A370" t="s">
        <v>658</v>
      </c>
      <c r="B370" s="1">
        <v>45426</v>
      </c>
      <c r="C370" s="1">
        <v>45430</v>
      </c>
      <c r="E370" t="s">
        <v>457</v>
      </c>
      <c r="F370" t="s">
        <v>27</v>
      </c>
      <c r="G370" t="s">
        <v>132</v>
      </c>
      <c r="H370" t="s">
        <v>129</v>
      </c>
      <c r="I370" t="s">
        <v>52</v>
      </c>
      <c r="J370" t="s">
        <v>53</v>
      </c>
      <c r="K370" t="s">
        <v>54</v>
      </c>
      <c r="L370">
        <v>7</v>
      </c>
      <c r="M370">
        <v>183.75</v>
      </c>
      <c r="N370">
        <v>0</v>
      </c>
      <c r="O370" t="s">
        <v>219</v>
      </c>
      <c r="P370">
        <v>47.57</v>
      </c>
    </row>
    <row r="371" spans="1:16" x14ac:dyDescent="0.35">
      <c r="A371" t="s">
        <v>659</v>
      </c>
      <c r="B371" s="1">
        <v>45218</v>
      </c>
      <c r="C371" s="1">
        <v>45221</v>
      </c>
      <c r="D371" t="s">
        <v>65</v>
      </c>
      <c r="E371" t="s">
        <v>221</v>
      </c>
      <c r="F371" t="s">
        <v>35</v>
      </c>
      <c r="G371" t="s">
        <v>332</v>
      </c>
      <c r="H371" t="s">
        <v>123</v>
      </c>
      <c r="I371" t="s">
        <v>30</v>
      </c>
      <c r="J371" t="s">
        <v>31</v>
      </c>
      <c r="K371" t="s">
        <v>87</v>
      </c>
      <c r="L371">
        <v>5</v>
      </c>
      <c r="M371">
        <v>418.88</v>
      </c>
      <c r="N371">
        <v>0.3</v>
      </c>
      <c r="O371">
        <v>2094.4</v>
      </c>
      <c r="P371">
        <v>707.8</v>
      </c>
    </row>
    <row r="372" spans="1:16" x14ac:dyDescent="0.35">
      <c r="A372" t="s">
        <v>660</v>
      </c>
      <c r="B372" s="1">
        <v>44930</v>
      </c>
      <c r="C372" s="1">
        <v>44932</v>
      </c>
      <c r="D372" t="s">
        <v>59</v>
      </c>
      <c r="E372" t="s">
        <v>599</v>
      </c>
      <c r="F372" t="s">
        <v>19</v>
      </c>
      <c r="G372" t="s">
        <v>51</v>
      </c>
      <c r="I372" t="s">
        <v>52</v>
      </c>
      <c r="J372" t="s">
        <v>194</v>
      </c>
      <c r="K372" t="s">
        <v>361</v>
      </c>
      <c r="L372">
        <v>7</v>
      </c>
      <c r="M372">
        <v>642.62</v>
      </c>
      <c r="N372">
        <v>0.1</v>
      </c>
      <c r="O372">
        <v>4498.34</v>
      </c>
      <c r="P372">
        <v>-336.51</v>
      </c>
    </row>
    <row r="373" spans="1:16" x14ac:dyDescent="0.35">
      <c r="A373" t="s">
        <v>661</v>
      </c>
      <c r="B373" s="1">
        <v>45144</v>
      </c>
      <c r="C373" s="1">
        <v>45145</v>
      </c>
      <c r="D373" t="s">
        <v>44</v>
      </c>
      <c r="E373" t="s">
        <v>379</v>
      </c>
      <c r="F373" t="s">
        <v>27</v>
      </c>
      <c r="G373" t="s">
        <v>90</v>
      </c>
      <c r="H373" t="s">
        <v>62</v>
      </c>
      <c r="I373" t="s">
        <v>22</v>
      </c>
      <c r="J373" t="s">
        <v>23</v>
      </c>
      <c r="K373" t="s">
        <v>24</v>
      </c>
      <c r="L373">
        <v>10</v>
      </c>
      <c r="M373">
        <v>661.24</v>
      </c>
      <c r="N373">
        <v>0</v>
      </c>
      <c r="O373">
        <v>6612.4</v>
      </c>
      <c r="P373">
        <v>-549.22</v>
      </c>
    </row>
    <row r="374" spans="1:16" x14ac:dyDescent="0.35">
      <c r="A374" t="s">
        <v>662</v>
      </c>
      <c r="B374" s="1">
        <v>45153</v>
      </c>
      <c r="C374" s="1">
        <v>45155</v>
      </c>
      <c r="D374" t="s">
        <v>59</v>
      </c>
      <c r="E374" t="s">
        <v>299</v>
      </c>
      <c r="F374" t="s">
        <v>27</v>
      </c>
      <c r="G374" t="s">
        <v>82</v>
      </c>
      <c r="H374" t="s">
        <v>123</v>
      </c>
      <c r="I374" t="s">
        <v>30</v>
      </c>
      <c r="J374" t="s">
        <v>47</v>
      </c>
      <c r="K374" t="s">
        <v>48</v>
      </c>
      <c r="L374">
        <v>10</v>
      </c>
      <c r="M374">
        <v>381.58</v>
      </c>
      <c r="N374">
        <v>0.15</v>
      </c>
      <c r="O374">
        <v>3815.8</v>
      </c>
      <c r="P374">
        <v>54.86</v>
      </c>
    </row>
    <row r="375" spans="1:16" x14ac:dyDescent="0.35">
      <c r="A375" t="s">
        <v>663</v>
      </c>
      <c r="B375" s="1">
        <v>45555</v>
      </c>
      <c r="C375" s="1">
        <v>45561</v>
      </c>
      <c r="D375" t="s">
        <v>44</v>
      </c>
      <c r="E375" t="s">
        <v>169</v>
      </c>
      <c r="F375" t="s">
        <v>35</v>
      </c>
      <c r="G375" t="s">
        <v>82</v>
      </c>
      <c r="H375" t="s">
        <v>83</v>
      </c>
      <c r="I375" t="s">
        <v>52</v>
      </c>
      <c r="J375" t="s">
        <v>194</v>
      </c>
      <c r="K375" t="s">
        <v>195</v>
      </c>
      <c r="L375">
        <v>1</v>
      </c>
      <c r="M375">
        <v>846.79</v>
      </c>
      <c r="N375">
        <v>0.1</v>
      </c>
      <c r="O375">
        <v>846.79</v>
      </c>
      <c r="P375">
        <v>49.27</v>
      </c>
    </row>
    <row r="376" spans="1:16" x14ac:dyDescent="0.35">
      <c r="A376" t="s">
        <v>664</v>
      </c>
      <c r="B376" s="1">
        <v>45569</v>
      </c>
      <c r="C376" s="1">
        <v>45574</v>
      </c>
      <c r="D376" t="s">
        <v>59</v>
      </c>
      <c r="E376" t="s">
        <v>267</v>
      </c>
      <c r="F376" t="s">
        <v>27</v>
      </c>
      <c r="G376" t="s">
        <v>67</v>
      </c>
      <c r="H376" t="s">
        <v>36</v>
      </c>
      <c r="I376" t="s">
        <v>52</v>
      </c>
      <c r="J376" t="s">
        <v>194</v>
      </c>
      <c r="K376" t="s">
        <v>195</v>
      </c>
      <c r="L376">
        <v>8</v>
      </c>
      <c r="M376">
        <v>70.31</v>
      </c>
      <c r="N376">
        <v>0</v>
      </c>
      <c r="O376">
        <v>562.48</v>
      </c>
      <c r="P376">
        <v>-39.909999999999997</v>
      </c>
    </row>
    <row r="377" spans="1:16" x14ac:dyDescent="0.35">
      <c r="A377" t="s">
        <v>665</v>
      </c>
      <c r="B377" s="1">
        <v>45331</v>
      </c>
      <c r="C377" s="1">
        <v>45332</v>
      </c>
      <c r="D377" t="s">
        <v>17</v>
      </c>
      <c r="E377" t="s">
        <v>56</v>
      </c>
      <c r="F377" t="s">
        <v>27</v>
      </c>
      <c r="G377" t="s">
        <v>67</v>
      </c>
      <c r="H377" t="s">
        <v>21</v>
      </c>
      <c r="I377" t="s">
        <v>52</v>
      </c>
      <c r="J377" t="s">
        <v>68</v>
      </c>
      <c r="K377" t="s">
        <v>108</v>
      </c>
      <c r="L377">
        <v>7</v>
      </c>
      <c r="M377">
        <v>741.06</v>
      </c>
      <c r="N377">
        <v>0</v>
      </c>
      <c r="O377">
        <v>5187.42</v>
      </c>
      <c r="P377">
        <v>-497.09</v>
      </c>
    </row>
    <row r="378" spans="1:16" x14ac:dyDescent="0.35">
      <c r="A378" t="s">
        <v>666</v>
      </c>
      <c r="B378" s="1">
        <v>45292</v>
      </c>
      <c r="C378" s="1">
        <v>45294</v>
      </c>
      <c r="D378" t="s">
        <v>44</v>
      </c>
      <c r="E378" t="s">
        <v>153</v>
      </c>
      <c r="F378" t="s">
        <v>19</v>
      </c>
      <c r="G378" t="s">
        <v>187</v>
      </c>
      <c r="H378" t="s">
        <v>29</v>
      </c>
      <c r="I378" t="s">
        <v>52</v>
      </c>
      <c r="J378" t="s">
        <v>78</v>
      </c>
      <c r="K378" t="s">
        <v>198</v>
      </c>
      <c r="L378">
        <v>1</v>
      </c>
      <c r="M378">
        <v>840.84</v>
      </c>
      <c r="N378">
        <v>0.1</v>
      </c>
      <c r="O378">
        <v>840.84</v>
      </c>
      <c r="P378">
        <v>-10.55</v>
      </c>
    </row>
    <row r="379" spans="1:16" x14ac:dyDescent="0.35">
      <c r="A379" t="s">
        <v>667</v>
      </c>
      <c r="B379" s="1">
        <v>45394</v>
      </c>
      <c r="C379" s="1">
        <v>45396</v>
      </c>
      <c r="D379" t="s">
        <v>17</v>
      </c>
      <c r="E379" t="s">
        <v>231</v>
      </c>
      <c r="F379" t="s">
        <v>19</v>
      </c>
      <c r="G379" t="s">
        <v>45</v>
      </c>
      <c r="H379" t="s">
        <v>46</v>
      </c>
      <c r="I379" t="s">
        <v>22</v>
      </c>
      <c r="J379" t="s">
        <v>115</v>
      </c>
      <c r="K379" t="s">
        <v>147</v>
      </c>
      <c r="L379">
        <v>3</v>
      </c>
      <c r="M379">
        <v>472.69</v>
      </c>
      <c r="N379">
        <v>0</v>
      </c>
      <c r="O379">
        <v>1418.07</v>
      </c>
      <c r="P379">
        <v>-65.42</v>
      </c>
    </row>
    <row r="380" spans="1:16" x14ac:dyDescent="0.35">
      <c r="A380" t="s">
        <v>668</v>
      </c>
      <c r="B380" s="1">
        <v>45408</v>
      </c>
      <c r="C380" s="1">
        <v>45411</v>
      </c>
      <c r="D380" t="s">
        <v>44</v>
      </c>
      <c r="E380" t="s">
        <v>213</v>
      </c>
      <c r="F380" t="s">
        <v>27</v>
      </c>
      <c r="G380" t="s">
        <v>128</v>
      </c>
      <c r="H380" t="s">
        <v>129</v>
      </c>
      <c r="I380" t="s">
        <v>22</v>
      </c>
      <c r="J380" t="s">
        <v>74</v>
      </c>
      <c r="K380" t="s">
        <v>165</v>
      </c>
      <c r="L380">
        <v>12</v>
      </c>
      <c r="M380">
        <v>448.44</v>
      </c>
      <c r="N380">
        <v>0.2</v>
      </c>
      <c r="O380">
        <v>5381.28</v>
      </c>
      <c r="P380">
        <v>1735.98</v>
      </c>
    </row>
    <row r="381" spans="1:16" x14ac:dyDescent="0.35">
      <c r="A381" t="s">
        <v>669</v>
      </c>
      <c r="B381" s="1">
        <v>45307</v>
      </c>
      <c r="C381" s="1">
        <v>45308</v>
      </c>
      <c r="D381" t="s">
        <v>17</v>
      </c>
      <c r="E381" t="s">
        <v>397</v>
      </c>
      <c r="F381" t="s">
        <v>27</v>
      </c>
      <c r="G381" t="s">
        <v>103</v>
      </c>
      <c r="H381" t="s">
        <v>73</v>
      </c>
      <c r="I381" t="s">
        <v>22</v>
      </c>
      <c r="J381" t="s">
        <v>115</v>
      </c>
      <c r="K381" t="s">
        <v>116</v>
      </c>
      <c r="L381">
        <v>5</v>
      </c>
      <c r="M381">
        <v>792.94</v>
      </c>
      <c r="N381">
        <v>0</v>
      </c>
      <c r="O381">
        <v>3964.7</v>
      </c>
      <c r="P381">
        <v>38.71</v>
      </c>
    </row>
    <row r="382" spans="1:16" x14ac:dyDescent="0.35">
      <c r="A382" t="s">
        <v>670</v>
      </c>
      <c r="B382" s="1">
        <v>45443</v>
      </c>
      <c r="C382" s="1">
        <v>45446</v>
      </c>
      <c r="D382" t="s">
        <v>59</v>
      </c>
      <c r="E382" t="s">
        <v>671</v>
      </c>
      <c r="F382" t="s">
        <v>35</v>
      </c>
      <c r="G382" t="s">
        <v>187</v>
      </c>
      <c r="H382" t="s">
        <v>29</v>
      </c>
      <c r="I382" t="s">
        <v>22</v>
      </c>
      <c r="J382" t="s">
        <v>74</v>
      </c>
      <c r="K382" t="s">
        <v>75</v>
      </c>
      <c r="L382">
        <v>3</v>
      </c>
      <c r="M382">
        <v>270.01</v>
      </c>
      <c r="N382">
        <v>0</v>
      </c>
      <c r="O382">
        <v>810.03</v>
      </c>
      <c r="P382">
        <v>142.41999999999999</v>
      </c>
    </row>
    <row r="383" spans="1:16" x14ac:dyDescent="0.35">
      <c r="A383" t="s">
        <v>672</v>
      </c>
      <c r="B383" s="1">
        <v>45551</v>
      </c>
      <c r="C383" s="1">
        <v>45558</v>
      </c>
      <c r="D383" t="s">
        <v>59</v>
      </c>
      <c r="E383" t="s">
        <v>281</v>
      </c>
      <c r="F383" t="s">
        <v>19</v>
      </c>
      <c r="G383" t="s">
        <v>45</v>
      </c>
      <c r="H383" t="s">
        <v>123</v>
      </c>
      <c r="I383" t="s">
        <v>22</v>
      </c>
      <c r="J383" t="s">
        <v>74</v>
      </c>
      <c r="K383" t="s">
        <v>165</v>
      </c>
      <c r="L383">
        <v>6</v>
      </c>
      <c r="M383">
        <v>145.54</v>
      </c>
      <c r="N383">
        <v>0</v>
      </c>
      <c r="O383">
        <v>873.24</v>
      </c>
      <c r="P383">
        <v>178.21</v>
      </c>
    </row>
    <row r="384" spans="1:16" x14ac:dyDescent="0.35">
      <c r="A384" t="s">
        <v>673</v>
      </c>
      <c r="B384" s="1">
        <v>45561</v>
      </c>
      <c r="C384" s="1">
        <v>45562</v>
      </c>
      <c r="D384" t="s">
        <v>59</v>
      </c>
      <c r="E384" t="s">
        <v>227</v>
      </c>
      <c r="F384" t="s">
        <v>35</v>
      </c>
      <c r="G384" t="s">
        <v>86</v>
      </c>
      <c r="H384" t="s">
        <v>29</v>
      </c>
      <c r="I384" t="s">
        <v>52</v>
      </c>
      <c r="J384" t="s">
        <v>68</v>
      </c>
      <c r="K384" t="s">
        <v>108</v>
      </c>
      <c r="L384">
        <v>3</v>
      </c>
      <c r="M384">
        <v>511.17</v>
      </c>
      <c r="N384">
        <v>0</v>
      </c>
      <c r="O384">
        <v>1533.51</v>
      </c>
      <c r="P384">
        <v>389.28</v>
      </c>
    </row>
    <row r="385" spans="1:16" x14ac:dyDescent="0.35">
      <c r="A385" t="s">
        <v>674</v>
      </c>
      <c r="B385" s="1">
        <v>45410</v>
      </c>
      <c r="C385" s="1">
        <v>45416</v>
      </c>
      <c r="D385" t="s">
        <v>65</v>
      </c>
      <c r="E385" t="s">
        <v>675</v>
      </c>
      <c r="F385" t="s">
        <v>27</v>
      </c>
      <c r="G385" t="s">
        <v>45</v>
      </c>
      <c r="H385" t="s">
        <v>83</v>
      </c>
      <c r="I385" t="s">
        <v>52</v>
      </c>
      <c r="J385" t="s">
        <v>53</v>
      </c>
      <c r="K385" t="s">
        <v>54</v>
      </c>
      <c r="L385">
        <v>1</v>
      </c>
      <c r="M385">
        <v>424.64</v>
      </c>
      <c r="N385">
        <v>0.15</v>
      </c>
      <c r="O385">
        <v>424.64</v>
      </c>
      <c r="P385">
        <v>128.68</v>
      </c>
    </row>
    <row r="386" spans="1:16" x14ac:dyDescent="0.35">
      <c r="A386" t="s">
        <v>676</v>
      </c>
      <c r="B386" s="1">
        <v>45349</v>
      </c>
      <c r="C386" s="1">
        <v>45355</v>
      </c>
      <c r="D386" t="s">
        <v>17</v>
      </c>
      <c r="E386" t="s">
        <v>363</v>
      </c>
      <c r="F386" t="s">
        <v>35</v>
      </c>
      <c r="G386" t="s">
        <v>51</v>
      </c>
      <c r="H386" t="s">
        <v>21</v>
      </c>
      <c r="I386" t="s">
        <v>22</v>
      </c>
      <c r="J386" t="s">
        <v>74</v>
      </c>
      <c r="K386" t="s">
        <v>253</v>
      </c>
      <c r="L386">
        <v>2</v>
      </c>
      <c r="M386">
        <v>534.75</v>
      </c>
      <c r="N386">
        <v>0</v>
      </c>
      <c r="O386">
        <v>1069.5</v>
      </c>
      <c r="P386">
        <v>72.180000000000007</v>
      </c>
    </row>
    <row r="387" spans="1:16" x14ac:dyDescent="0.35">
      <c r="A387" t="s">
        <v>677</v>
      </c>
      <c r="B387" s="1">
        <v>45631</v>
      </c>
      <c r="C387" s="1">
        <v>45638</v>
      </c>
      <c r="D387" t="s">
        <v>59</v>
      </c>
      <c r="E387" t="s">
        <v>395</v>
      </c>
      <c r="F387" t="s">
        <v>35</v>
      </c>
      <c r="G387" t="s">
        <v>51</v>
      </c>
      <c r="H387" t="s">
        <v>36</v>
      </c>
      <c r="I387" t="s">
        <v>52</v>
      </c>
      <c r="J387" t="s">
        <v>194</v>
      </c>
      <c r="K387" t="s">
        <v>306</v>
      </c>
      <c r="L387">
        <v>3</v>
      </c>
      <c r="M387">
        <v>20.350000000000001</v>
      </c>
      <c r="N387">
        <v>0</v>
      </c>
      <c r="O387">
        <v>61.05</v>
      </c>
      <c r="P387">
        <v>10.54</v>
      </c>
    </row>
    <row r="388" spans="1:16" x14ac:dyDescent="0.35">
      <c r="A388" t="s">
        <v>678</v>
      </c>
      <c r="B388" s="1">
        <v>45588</v>
      </c>
      <c r="C388" s="1">
        <v>45592</v>
      </c>
      <c r="D388" t="s">
        <v>59</v>
      </c>
      <c r="E388" t="s">
        <v>679</v>
      </c>
      <c r="F388" t="s">
        <v>35</v>
      </c>
      <c r="G388" t="s">
        <v>128</v>
      </c>
      <c r="H388" t="s">
        <v>129</v>
      </c>
      <c r="I388" t="s">
        <v>30</v>
      </c>
      <c r="J388" t="s">
        <v>99</v>
      </c>
      <c r="K388" t="s">
        <v>100</v>
      </c>
      <c r="L388">
        <v>1</v>
      </c>
      <c r="M388">
        <v>891.28</v>
      </c>
      <c r="N388">
        <v>0.1</v>
      </c>
      <c r="O388">
        <v>891.28</v>
      </c>
      <c r="P388">
        <v>-80.55</v>
      </c>
    </row>
    <row r="389" spans="1:16" x14ac:dyDescent="0.35">
      <c r="A389" t="s">
        <v>680</v>
      </c>
      <c r="B389" s="1">
        <v>45494</v>
      </c>
      <c r="C389" s="1">
        <v>45496</v>
      </c>
      <c r="D389" t="s">
        <v>65</v>
      </c>
      <c r="E389" t="s">
        <v>681</v>
      </c>
      <c r="F389" t="s">
        <v>35</v>
      </c>
      <c r="G389" t="s">
        <v>128</v>
      </c>
      <c r="H389" t="s">
        <v>129</v>
      </c>
      <c r="I389" t="s">
        <v>30</v>
      </c>
      <c r="J389" t="s">
        <v>47</v>
      </c>
      <c r="K389" t="s">
        <v>94</v>
      </c>
      <c r="L389">
        <v>12</v>
      </c>
      <c r="M389">
        <v>183.7</v>
      </c>
      <c r="N389">
        <v>0.2</v>
      </c>
      <c r="O389">
        <v>2204.4</v>
      </c>
      <c r="P389">
        <v>-63.87</v>
      </c>
    </row>
    <row r="390" spans="1:16" x14ac:dyDescent="0.35">
      <c r="A390" t="s">
        <v>682</v>
      </c>
      <c r="B390" s="1">
        <v>45608</v>
      </c>
      <c r="C390" s="1">
        <v>45610</v>
      </c>
      <c r="D390" t="s">
        <v>17</v>
      </c>
      <c r="E390" t="s">
        <v>465</v>
      </c>
      <c r="F390" t="s">
        <v>27</v>
      </c>
      <c r="G390" t="s">
        <v>132</v>
      </c>
      <c r="H390" t="s">
        <v>129</v>
      </c>
      <c r="I390" t="s">
        <v>52</v>
      </c>
      <c r="J390" t="s">
        <v>194</v>
      </c>
      <c r="K390" t="s">
        <v>195</v>
      </c>
      <c r="L390">
        <v>9</v>
      </c>
      <c r="M390">
        <v>114.32</v>
      </c>
      <c r="N390">
        <v>0.1</v>
      </c>
      <c r="O390">
        <v>1028.8800000000001</v>
      </c>
      <c r="P390">
        <v>174.15</v>
      </c>
    </row>
    <row r="391" spans="1:16" x14ac:dyDescent="0.35">
      <c r="A391" t="s">
        <v>683</v>
      </c>
      <c r="B391" s="1">
        <v>45275</v>
      </c>
      <c r="C391" s="1">
        <v>45281</v>
      </c>
      <c r="D391" t="s">
        <v>17</v>
      </c>
      <c r="E391" t="s">
        <v>213</v>
      </c>
      <c r="F391" t="s">
        <v>27</v>
      </c>
      <c r="G391" t="s">
        <v>72</v>
      </c>
      <c r="H391" t="s">
        <v>73</v>
      </c>
      <c r="I391" t="s">
        <v>22</v>
      </c>
      <c r="J391" t="s">
        <v>115</v>
      </c>
      <c r="K391" t="s">
        <v>147</v>
      </c>
      <c r="L391">
        <v>10</v>
      </c>
      <c r="M391">
        <v>664.54</v>
      </c>
      <c r="N391">
        <v>0</v>
      </c>
      <c r="O391">
        <v>6645.4</v>
      </c>
      <c r="P391">
        <v>-791.18</v>
      </c>
    </row>
    <row r="392" spans="1:16" x14ac:dyDescent="0.35">
      <c r="A392" t="s">
        <v>684</v>
      </c>
      <c r="B392" s="1">
        <v>45202</v>
      </c>
      <c r="C392" s="1">
        <v>45204</v>
      </c>
      <c r="D392" t="s">
        <v>59</v>
      </c>
      <c r="E392" t="s">
        <v>685</v>
      </c>
      <c r="F392" t="s">
        <v>27</v>
      </c>
      <c r="G392" t="s">
        <v>51</v>
      </c>
      <c r="I392" t="s">
        <v>52</v>
      </c>
      <c r="J392" t="s">
        <v>194</v>
      </c>
      <c r="K392" t="s">
        <v>306</v>
      </c>
      <c r="L392">
        <v>12</v>
      </c>
      <c r="M392">
        <v>287.24</v>
      </c>
      <c r="N392">
        <v>0</v>
      </c>
      <c r="O392">
        <v>3446.88</v>
      </c>
      <c r="P392">
        <v>215.94</v>
      </c>
    </row>
    <row r="393" spans="1:16" x14ac:dyDescent="0.35">
      <c r="A393" t="s">
        <v>686</v>
      </c>
      <c r="B393" s="1">
        <v>45411</v>
      </c>
      <c r="C393" s="1">
        <v>45414</v>
      </c>
      <c r="D393" t="s">
        <v>17</v>
      </c>
      <c r="E393" t="s">
        <v>551</v>
      </c>
      <c r="F393" t="s">
        <v>27</v>
      </c>
      <c r="G393" t="s">
        <v>288</v>
      </c>
      <c r="H393" t="s">
        <v>112</v>
      </c>
      <c r="I393" t="s">
        <v>22</v>
      </c>
      <c r="J393" t="s">
        <v>37</v>
      </c>
      <c r="K393" t="s">
        <v>38</v>
      </c>
      <c r="L393">
        <v>7</v>
      </c>
      <c r="M393">
        <v>371.08</v>
      </c>
      <c r="N393">
        <v>0.15</v>
      </c>
      <c r="O393">
        <v>2597.56</v>
      </c>
      <c r="P393">
        <v>801.53</v>
      </c>
    </row>
    <row r="394" spans="1:16" x14ac:dyDescent="0.35">
      <c r="A394" t="s">
        <v>687</v>
      </c>
      <c r="B394" s="1">
        <v>45003</v>
      </c>
      <c r="C394" s="1">
        <v>45006</v>
      </c>
      <c r="D394" t="s">
        <v>44</v>
      </c>
      <c r="E394" t="s">
        <v>688</v>
      </c>
      <c r="F394" t="s">
        <v>27</v>
      </c>
      <c r="G394" t="s">
        <v>86</v>
      </c>
      <c r="H394" t="s">
        <v>159</v>
      </c>
      <c r="I394" t="s">
        <v>52</v>
      </c>
      <c r="J394" t="s">
        <v>78</v>
      </c>
      <c r="K394" t="s">
        <v>79</v>
      </c>
      <c r="L394">
        <v>2</v>
      </c>
      <c r="M394">
        <v>307.47000000000003</v>
      </c>
      <c r="O394">
        <v>614.94000000000005</v>
      </c>
    </row>
    <row r="395" spans="1:16" x14ac:dyDescent="0.35">
      <c r="A395" t="s">
        <v>689</v>
      </c>
      <c r="B395" s="1">
        <v>45042</v>
      </c>
      <c r="C395" s="1">
        <v>45047</v>
      </c>
      <c r="D395" t="s">
        <v>59</v>
      </c>
      <c r="E395" t="s">
        <v>510</v>
      </c>
      <c r="F395" t="s">
        <v>19</v>
      </c>
      <c r="G395" t="s">
        <v>128</v>
      </c>
      <c r="H395" t="s">
        <v>112</v>
      </c>
      <c r="I395" t="s">
        <v>30</v>
      </c>
      <c r="J395" t="s">
        <v>47</v>
      </c>
      <c r="K395" t="s">
        <v>94</v>
      </c>
      <c r="L395">
        <v>6</v>
      </c>
      <c r="M395">
        <v>290.79000000000002</v>
      </c>
      <c r="N395">
        <v>0.1</v>
      </c>
      <c r="O395">
        <v>1744.74</v>
      </c>
      <c r="P395">
        <v>158.15</v>
      </c>
    </row>
    <row r="396" spans="1:16" x14ac:dyDescent="0.35">
      <c r="A396" t="s">
        <v>690</v>
      </c>
      <c r="B396" s="1">
        <v>45067</v>
      </c>
      <c r="C396" s="1">
        <v>45073</v>
      </c>
      <c r="D396" t="s">
        <v>59</v>
      </c>
      <c r="E396" t="s">
        <v>521</v>
      </c>
      <c r="F396" t="s">
        <v>35</v>
      </c>
      <c r="G396" t="s">
        <v>51</v>
      </c>
      <c r="H396" t="s">
        <v>21</v>
      </c>
      <c r="I396" t="s">
        <v>52</v>
      </c>
      <c r="J396" t="s">
        <v>68</v>
      </c>
      <c r="K396" t="s">
        <v>216</v>
      </c>
      <c r="L396">
        <v>6</v>
      </c>
      <c r="M396">
        <v>72.22</v>
      </c>
      <c r="N396">
        <v>0</v>
      </c>
      <c r="O396">
        <v>433.32</v>
      </c>
      <c r="P396">
        <v>95.03</v>
      </c>
    </row>
    <row r="397" spans="1:16" x14ac:dyDescent="0.35">
      <c r="A397" t="s">
        <v>691</v>
      </c>
      <c r="B397" s="1">
        <v>45162</v>
      </c>
      <c r="C397" s="1">
        <v>45168</v>
      </c>
      <c r="D397" t="s">
        <v>17</v>
      </c>
      <c r="E397" t="s">
        <v>478</v>
      </c>
      <c r="F397" t="s">
        <v>27</v>
      </c>
      <c r="G397" t="s">
        <v>72</v>
      </c>
      <c r="H397" t="s">
        <v>62</v>
      </c>
      <c r="I397" t="s">
        <v>30</v>
      </c>
      <c r="J397" t="s">
        <v>41</v>
      </c>
      <c r="K397" t="s">
        <v>191</v>
      </c>
      <c r="L397">
        <v>12</v>
      </c>
      <c r="M397">
        <v>141.09</v>
      </c>
      <c r="N397">
        <v>0.15</v>
      </c>
      <c r="O397">
        <v>1693.08</v>
      </c>
      <c r="P397">
        <v>104.98</v>
      </c>
    </row>
    <row r="398" spans="1:16" x14ac:dyDescent="0.35">
      <c r="A398" t="s">
        <v>692</v>
      </c>
      <c r="B398" s="1">
        <v>45627</v>
      </c>
      <c r="C398" s="1">
        <v>45632</v>
      </c>
      <c r="D398" t="s">
        <v>44</v>
      </c>
      <c r="E398" t="s">
        <v>693</v>
      </c>
      <c r="F398" t="s">
        <v>19</v>
      </c>
      <c r="G398" t="s">
        <v>288</v>
      </c>
      <c r="H398" t="s">
        <v>112</v>
      </c>
      <c r="I398" t="s">
        <v>52</v>
      </c>
      <c r="J398" t="s">
        <v>53</v>
      </c>
      <c r="K398" t="s">
        <v>54</v>
      </c>
      <c r="L398">
        <v>3</v>
      </c>
      <c r="M398">
        <v>224.15</v>
      </c>
      <c r="N398">
        <v>0.2</v>
      </c>
      <c r="O398">
        <v>672.45</v>
      </c>
      <c r="P398">
        <v>222.74</v>
      </c>
    </row>
    <row r="399" spans="1:16" x14ac:dyDescent="0.35">
      <c r="A399" t="s">
        <v>694</v>
      </c>
      <c r="B399" s="1">
        <v>44986</v>
      </c>
      <c r="C399" s="1">
        <v>44992</v>
      </c>
      <c r="D399" t="s">
        <v>17</v>
      </c>
      <c r="E399" t="s">
        <v>685</v>
      </c>
      <c r="F399" t="s">
        <v>19</v>
      </c>
      <c r="G399" t="s">
        <v>90</v>
      </c>
      <c r="H399" t="s">
        <v>62</v>
      </c>
      <c r="I399" t="s">
        <v>52</v>
      </c>
      <c r="J399" t="s">
        <v>53</v>
      </c>
      <c r="K399" t="s">
        <v>91</v>
      </c>
      <c r="L399">
        <v>1</v>
      </c>
      <c r="M399">
        <v>745.17</v>
      </c>
      <c r="O399">
        <v>745.17</v>
      </c>
      <c r="P399">
        <v>115.65</v>
      </c>
    </row>
    <row r="400" spans="1:16" x14ac:dyDescent="0.35">
      <c r="A400" t="s">
        <v>695</v>
      </c>
      <c r="B400" s="1">
        <v>45167</v>
      </c>
      <c r="C400" s="1">
        <v>45168</v>
      </c>
      <c r="D400" t="s">
        <v>17</v>
      </c>
      <c r="E400" t="s">
        <v>521</v>
      </c>
      <c r="F400" t="s">
        <v>27</v>
      </c>
      <c r="G400" t="s">
        <v>181</v>
      </c>
      <c r="H400" t="s">
        <v>123</v>
      </c>
      <c r="I400" t="s">
        <v>22</v>
      </c>
      <c r="J400" t="s">
        <v>37</v>
      </c>
      <c r="K400" t="s">
        <v>38</v>
      </c>
      <c r="L400">
        <v>2</v>
      </c>
      <c r="M400">
        <v>652.59</v>
      </c>
      <c r="N400">
        <v>0</v>
      </c>
      <c r="O400">
        <v>1305.18</v>
      </c>
      <c r="P400">
        <v>394.67</v>
      </c>
    </row>
    <row r="401" spans="1:16" x14ac:dyDescent="0.35">
      <c r="A401" t="s">
        <v>696</v>
      </c>
      <c r="B401" s="1">
        <v>45598</v>
      </c>
      <c r="C401" s="1">
        <v>45602</v>
      </c>
      <c r="D401" t="s">
        <v>59</v>
      </c>
      <c r="E401" t="s">
        <v>255</v>
      </c>
      <c r="F401" t="s">
        <v>27</v>
      </c>
      <c r="G401" t="s">
        <v>132</v>
      </c>
      <c r="H401" t="s">
        <v>112</v>
      </c>
      <c r="I401" t="s">
        <v>52</v>
      </c>
      <c r="J401" t="s">
        <v>194</v>
      </c>
      <c r="K401" t="s">
        <v>361</v>
      </c>
      <c r="L401">
        <v>5</v>
      </c>
      <c r="M401">
        <v>673.58</v>
      </c>
      <c r="N401">
        <v>0.1</v>
      </c>
      <c r="O401">
        <v>3367.9</v>
      </c>
      <c r="P401">
        <v>1006.7</v>
      </c>
    </row>
    <row r="402" spans="1:16" x14ac:dyDescent="0.35">
      <c r="A402" t="s">
        <v>697</v>
      </c>
      <c r="B402" s="1">
        <v>45023</v>
      </c>
      <c r="C402" s="1">
        <v>45027</v>
      </c>
      <c r="D402" t="s">
        <v>59</v>
      </c>
      <c r="E402" t="s">
        <v>589</v>
      </c>
      <c r="F402" t="s">
        <v>27</v>
      </c>
      <c r="G402" t="s">
        <v>20</v>
      </c>
      <c r="I402" t="s">
        <v>30</v>
      </c>
      <c r="J402" t="s">
        <v>41</v>
      </c>
      <c r="K402" t="s">
        <v>124</v>
      </c>
      <c r="L402">
        <v>6</v>
      </c>
      <c r="M402">
        <v>84.86</v>
      </c>
      <c r="N402">
        <v>0</v>
      </c>
      <c r="O402">
        <v>509.16</v>
      </c>
      <c r="P402">
        <v>104.54</v>
      </c>
    </row>
    <row r="403" spans="1:16" x14ac:dyDescent="0.35">
      <c r="A403" t="s">
        <v>698</v>
      </c>
      <c r="B403" s="1">
        <v>45432</v>
      </c>
      <c r="C403" s="1">
        <v>45433</v>
      </c>
      <c r="D403" t="s">
        <v>59</v>
      </c>
      <c r="E403" t="s">
        <v>135</v>
      </c>
      <c r="F403" t="s">
        <v>27</v>
      </c>
      <c r="G403" t="s">
        <v>67</v>
      </c>
      <c r="H403" t="s">
        <v>36</v>
      </c>
      <c r="I403" t="s">
        <v>52</v>
      </c>
      <c r="J403" t="s">
        <v>53</v>
      </c>
      <c r="K403" t="s">
        <v>54</v>
      </c>
      <c r="L403">
        <v>2</v>
      </c>
      <c r="M403">
        <v>281.82</v>
      </c>
      <c r="N403">
        <v>0.2</v>
      </c>
      <c r="O403">
        <v>563.64</v>
      </c>
      <c r="P403">
        <v>118.05</v>
      </c>
    </row>
    <row r="404" spans="1:16" x14ac:dyDescent="0.35">
      <c r="A404" t="s">
        <v>699</v>
      </c>
      <c r="B404" s="1">
        <v>45092</v>
      </c>
      <c r="C404" s="1">
        <v>45098</v>
      </c>
      <c r="D404" t="s">
        <v>59</v>
      </c>
      <c r="E404" t="s">
        <v>257</v>
      </c>
      <c r="F404" t="s">
        <v>27</v>
      </c>
      <c r="G404" t="s">
        <v>211</v>
      </c>
      <c r="H404" t="s">
        <v>159</v>
      </c>
      <c r="I404" t="s">
        <v>30</v>
      </c>
      <c r="J404" t="s">
        <v>41</v>
      </c>
      <c r="K404" t="s">
        <v>105</v>
      </c>
      <c r="L404">
        <v>2</v>
      </c>
      <c r="M404">
        <v>89.27</v>
      </c>
      <c r="N404">
        <v>0.1</v>
      </c>
      <c r="O404">
        <v>178.54</v>
      </c>
      <c r="P404">
        <v>24.46</v>
      </c>
    </row>
    <row r="405" spans="1:16" x14ac:dyDescent="0.35">
      <c r="A405" t="s">
        <v>700</v>
      </c>
      <c r="B405" s="1">
        <v>45139</v>
      </c>
      <c r="C405" s="1">
        <v>45144</v>
      </c>
      <c r="D405" t="s">
        <v>65</v>
      </c>
      <c r="E405" t="s">
        <v>410</v>
      </c>
      <c r="F405" t="s">
        <v>19</v>
      </c>
      <c r="G405" t="s">
        <v>67</v>
      </c>
      <c r="H405" t="s">
        <v>36</v>
      </c>
      <c r="I405" t="s">
        <v>22</v>
      </c>
      <c r="J405" t="s">
        <v>37</v>
      </c>
      <c r="K405" t="s">
        <v>144</v>
      </c>
      <c r="L405">
        <v>9</v>
      </c>
      <c r="M405">
        <v>311.38</v>
      </c>
      <c r="N405">
        <v>0</v>
      </c>
      <c r="O405">
        <v>2802.42</v>
      </c>
      <c r="P405">
        <v>526.66999999999996</v>
      </c>
    </row>
    <row r="406" spans="1:16" x14ac:dyDescent="0.35">
      <c r="A406" t="s">
        <v>701</v>
      </c>
      <c r="B406" s="1">
        <v>45493</v>
      </c>
      <c r="C406" s="1">
        <v>45498</v>
      </c>
      <c r="D406" t="s">
        <v>65</v>
      </c>
      <c r="E406" t="s">
        <v>218</v>
      </c>
      <c r="F406" t="s">
        <v>27</v>
      </c>
      <c r="G406" t="s">
        <v>61</v>
      </c>
      <c r="H406" t="s">
        <v>62</v>
      </c>
      <c r="I406" t="s">
        <v>30</v>
      </c>
      <c r="J406" t="s">
        <v>99</v>
      </c>
      <c r="K406" t="s">
        <v>208</v>
      </c>
      <c r="L406">
        <v>10</v>
      </c>
      <c r="M406">
        <v>750.86</v>
      </c>
      <c r="N406">
        <v>0.1</v>
      </c>
      <c r="O406">
        <v>7508.6</v>
      </c>
    </row>
    <row r="407" spans="1:16" x14ac:dyDescent="0.35">
      <c r="A407" t="s">
        <v>702</v>
      </c>
      <c r="B407" s="1">
        <v>44935</v>
      </c>
      <c r="C407" s="1">
        <v>44939</v>
      </c>
      <c r="D407" t="s">
        <v>44</v>
      </c>
      <c r="E407" t="s">
        <v>153</v>
      </c>
      <c r="F407" t="s">
        <v>27</v>
      </c>
      <c r="G407" t="s">
        <v>187</v>
      </c>
      <c r="H407" t="s">
        <v>159</v>
      </c>
      <c r="I407" t="s">
        <v>22</v>
      </c>
      <c r="J407" t="s">
        <v>115</v>
      </c>
      <c r="K407" t="s">
        <v>116</v>
      </c>
      <c r="L407">
        <v>5</v>
      </c>
      <c r="M407">
        <v>440.71</v>
      </c>
      <c r="N407">
        <v>0</v>
      </c>
      <c r="O407">
        <v>2203.5500000000002</v>
      </c>
      <c r="P407">
        <v>550.65</v>
      </c>
    </row>
    <row r="408" spans="1:16" x14ac:dyDescent="0.35">
      <c r="A408" t="s">
        <v>703</v>
      </c>
      <c r="B408" s="1">
        <v>45400</v>
      </c>
      <c r="C408" s="1">
        <v>45403</v>
      </c>
      <c r="D408" t="s">
        <v>17</v>
      </c>
      <c r="E408" t="s">
        <v>265</v>
      </c>
      <c r="F408" t="s">
        <v>35</v>
      </c>
      <c r="G408" t="s">
        <v>187</v>
      </c>
      <c r="H408" t="s">
        <v>159</v>
      </c>
      <c r="I408" t="s">
        <v>30</v>
      </c>
      <c r="J408" t="s">
        <v>41</v>
      </c>
      <c r="K408" t="s">
        <v>124</v>
      </c>
      <c r="L408">
        <v>2</v>
      </c>
      <c r="M408">
        <v>735.57</v>
      </c>
      <c r="N408">
        <v>0.2</v>
      </c>
      <c r="O408">
        <v>1471.14</v>
      </c>
      <c r="P408">
        <v>2.34</v>
      </c>
    </row>
    <row r="409" spans="1:16" x14ac:dyDescent="0.35">
      <c r="A409" t="s">
        <v>704</v>
      </c>
      <c r="B409" s="1">
        <v>45411</v>
      </c>
      <c r="C409" s="1">
        <v>45418</v>
      </c>
      <c r="D409" t="s">
        <v>17</v>
      </c>
      <c r="E409" t="s">
        <v>312</v>
      </c>
      <c r="F409" t="s">
        <v>35</v>
      </c>
      <c r="G409" t="s">
        <v>128</v>
      </c>
      <c r="H409" t="s">
        <v>129</v>
      </c>
      <c r="I409" t="s">
        <v>52</v>
      </c>
      <c r="J409" t="s">
        <v>78</v>
      </c>
      <c r="K409" t="s">
        <v>79</v>
      </c>
      <c r="L409">
        <v>11</v>
      </c>
      <c r="M409">
        <v>297.32</v>
      </c>
      <c r="N409">
        <v>0</v>
      </c>
      <c r="O409">
        <v>3270.52</v>
      </c>
      <c r="P409">
        <v>263.75</v>
      </c>
    </row>
    <row r="410" spans="1:16" x14ac:dyDescent="0.35">
      <c r="A410" t="s">
        <v>705</v>
      </c>
      <c r="B410" s="1">
        <v>45357</v>
      </c>
      <c r="C410" s="1">
        <v>45364</v>
      </c>
      <c r="D410" t="s">
        <v>59</v>
      </c>
      <c r="E410" t="s">
        <v>363</v>
      </c>
      <c r="F410" t="s">
        <v>27</v>
      </c>
      <c r="G410" t="s">
        <v>111</v>
      </c>
      <c r="H410" t="s">
        <v>129</v>
      </c>
      <c r="I410" t="s">
        <v>52</v>
      </c>
      <c r="J410" t="s">
        <v>78</v>
      </c>
      <c r="K410" t="s">
        <v>96</v>
      </c>
      <c r="L410">
        <v>3</v>
      </c>
      <c r="M410">
        <v>661.75</v>
      </c>
      <c r="N410">
        <v>0.2</v>
      </c>
      <c r="O410">
        <v>1985.25</v>
      </c>
      <c r="P410">
        <v>-29.7</v>
      </c>
    </row>
    <row r="411" spans="1:16" x14ac:dyDescent="0.35">
      <c r="A411" t="s">
        <v>706</v>
      </c>
      <c r="B411" s="1">
        <v>45283</v>
      </c>
      <c r="C411" s="1">
        <v>45284</v>
      </c>
      <c r="D411" t="s">
        <v>44</v>
      </c>
      <c r="E411" t="s">
        <v>251</v>
      </c>
      <c r="F411" t="s">
        <v>35</v>
      </c>
      <c r="G411" t="s">
        <v>90</v>
      </c>
      <c r="H411" t="s">
        <v>62</v>
      </c>
      <c r="I411" t="s">
        <v>22</v>
      </c>
      <c r="J411" t="s">
        <v>23</v>
      </c>
      <c r="K411" t="s">
        <v>178</v>
      </c>
      <c r="L411">
        <v>7</v>
      </c>
      <c r="M411">
        <v>779.84</v>
      </c>
      <c r="N411">
        <v>0.3</v>
      </c>
      <c r="O411">
        <v>5458.88</v>
      </c>
      <c r="P411">
        <v>1171.55</v>
      </c>
    </row>
    <row r="412" spans="1:16" x14ac:dyDescent="0.35">
      <c r="A412" t="s">
        <v>707</v>
      </c>
      <c r="B412" s="1">
        <v>45582</v>
      </c>
      <c r="C412" s="1">
        <v>45587</v>
      </c>
      <c r="D412" t="s">
        <v>17</v>
      </c>
      <c r="E412" t="s">
        <v>708</v>
      </c>
      <c r="F412" t="s">
        <v>27</v>
      </c>
      <c r="G412" t="s">
        <v>181</v>
      </c>
      <c r="H412" t="s">
        <v>46</v>
      </c>
      <c r="I412" t="s">
        <v>30</v>
      </c>
      <c r="J412" t="s">
        <v>41</v>
      </c>
      <c r="K412" t="s">
        <v>124</v>
      </c>
      <c r="L412">
        <v>11</v>
      </c>
      <c r="M412">
        <v>733.21</v>
      </c>
      <c r="N412">
        <v>0.3</v>
      </c>
      <c r="O412">
        <v>8065.31</v>
      </c>
      <c r="P412">
        <v>124.01</v>
      </c>
    </row>
    <row r="413" spans="1:16" x14ac:dyDescent="0.35">
      <c r="A413" t="s">
        <v>709</v>
      </c>
      <c r="B413" s="1">
        <v>45527</v>
      </c>
      <c r="C413" s="1">
        <v>45529</v>
      </c>
      <c r="D413" t="s">
        <v>17</v>
      </c>
      <c r="E413" t="s">
        <v>424</v>
      </c>
      <c r="F413" t="s">
        <v>27</v>
      </c>
      <c r="G413" t="s">
        <v>103</v>
      </c>
      <c r="H413" t="s">
        <v>73</v>
      </c>
      <c r="I413" t="s">
        <v>30</v>
      </c>
      <c r="J413" t="s">
        <v>47</v>
      </c>
      <c r="K413" t="s">
        <v>48</v>
      </c>
      <c r="L413">
        <v>6</v>
      </c>
      <c r="M413">
        <v>315.99</v>
      </c>
      <c r="N413">
        <v>0.3</v>
      </c>
      <c r="O413">
        <v>1895.94</v>
      </c>
      <c r="P413">
        <v>-22.27</v>
      </c>
    </row>
    <row r="414" spans="1:16" x14ac:dyDescent="0.35">
      <c r="A414" t="s">
        <v>710</v>
      </c>
      <c r="B414" s="1">
        <v>45145</v>
      </c>
      <c r="C414" s="1">
        <v>45147</v>
      </c>
      <c r="D414" t="s">
        <v>17</v>
      </c>
      <c r="E414" t="s">
        <v>535</v>
      </c>
      <c r="F414" t="s">
        <v>19</v>
      </c>
      <c r="H414" t="s">
        <v>129</v>
      </c>
      <c r="I414" t="s">
        <v>30</v>
      </c>
      <c r="J414" t="s">
        <v>41</v>
      </c>
      <c r="K414" t="s">
        <v>191</v>
      </c>
      <c r="L414">
        <v>11</v>
      </c>
      <c r="M414">
        <v>566.19000000000005</v>
      </c>
      <c r="N414">
        <v>0.3</v>
      </c>
      <c r="O414">
        <v>6228.09</v>
      </c>
      <c r="P414">
        <v>1569.07</v>
      </c>
    </row>
    <row r="415" spans="1:16" x14ac:dyDescent="0.35">
      <c r="A415" t="s">
        <v>711</v>
      </c>
      <c r="B415" s="1">
        <v>45446</v>
      </c>
      <c r="C415" s="1">
        <v>45448</v>
      </c>
      <c r="D415" t="s">
        <v>17</v>
      </c>
      <c r="E415" t="s">
        <v>291</v>
      </c>
      <c r="F415" t="s">
        <v>27</v>
      </c>
      <c r="H415" t="s">
        <v>129</v>
      </c>
      <c r="I415" t="s">
        <v>52</v>
      </c>
      <c r="J415" t="s">
        <v>68</v>
      </c>
      <c r="K415" t="s">
        <v>216</v>
      </c>
      <c r="L415">
        <v>7</v>
      </c>
      <c r="M415">
        <v>361.82</v>
      </c>
      <c r="N415">
        <v>0</v>
      </c>
      <c r="O415">
        <v>2532.7399999999998</v>
      </c>
      <c r="P415">
        <v>-40.119999999999997</v>
      </c>
    </row>
    <row r="416" spans="1:16" x14ac:dyDescent="0.35">
      <c r="A416" t="s">
        <v>712</v>
      </c>
      <c r="B416" s="1">
        <v>45013</v>
      </c>
      <c r="C416" s="1">
        <v>45019</v>
      </c>
      <c r="D416" t="s">
        <v>59</v>
      </c>
      <c r="E416" t="s">
        <v>570</v>
      </c>
      <c r="F416" t="s">
        <v>27</v>
      </c>
      <c r="G416" t="s">
        <v>82</v>
      </c>
      <c r="H416" t="s">
        <v>123</v>
      </c>
      <c r="I416" t="s">
        <v>52</v>
      </c>
      <c r="J416" t="s">
        <v>194</v>
      </c>
      <c r="K416" t="s">
        <v>361</v>
      </c>
      <c r="L416">
        <v>1</v>
      </c>
      <c r="M416">
        <v>417.51</v>
      </c>
      <c r="N416">
        <v>0.3</v>
      </c>
      <c r="O416">
        <v>417.51</v>
      </c>
      <c r="P416">
        <v>25.57</v>
      </c>
    </row>
    <row r="417" spans="1:16" x14ac:dyDescent="0.35">
      <c r="A417" t="s">
        <v>713</v>
      </c>
      <c r="B417" s="1">
        <v>45493</v>
      </c>
      <c r="C417" s="1">
        <v>45500</v>
      </c>
      <c r="D417" t="s">
        <v>65</v>
      </c>
      <c r="E417" t="s">
        <v>255</v>
      </c>
      <c r="F417" t="s">
        <v>35</v>
      </c>
      <c r="G417" t="s">
        <v>72</v>
      </c>
      <c r="H417" t="s">
        <v>73</v>
      </c>
      <c r="I417" t="s">
        <v>30</v>
      </c>
      <c r="J417" t="s">
        <v>41</v>
      </c>
      <c r="K417" t="s">
        <v>105</v>
      </c>
      <c r="L417">
        <v>2</v>
      </c>
      <c r="M417">
        <v>277.7</v>
      </c>
      <c r="O417">
        <v>555.4</v>
      </c>
      <c r="P417">
        <v>122.59</v>
      </c>
    </row>
    <row r="418" spans="1:16" x14ac:dyDescent="0.35">
      <c r="A418" t="s">
        <v>714</v>
      </c>
      <c r="B418" s="1">
        <v>45413</v>
      </c>
      <c r="C418" s="1">
        <v>45420</v>
      </c>
      <c r="D418" t="s">
        <v>59</v>
      </c>
      <c r="E418" t="s">
        <v>131</v>
      </c>
      <c r="F418" t="s">
        <v>19</v>
      </c>
      <c r="G418" t="s">
        <v>90</v>
      </c>
      <c r="H418" t="s">
        <v>73</v>
      </c>
      <c r="I418" t="s">
        <v>22</v>
      </c>
      <c r="J418" t="s">
        <v>37</v>
      </c>
      <c r="K418" t="s">
        <v>38</v>
      </c>
      <c r="L418">
        <v>11</v>
      </c>
      <c r="M418">
        <v>823.4</v>
      </c>
      <c r="N418">
        <v>0.1</v>
      </c>
      <c r="O418">
        <v>9057.4</v>
      </c>
      <c r="P418">
        <v>-566.57000000000005</v>
      </c>
    </row>
    <row r="419" spans="1:16" x14ac:dyDescent="0.35">
      <c r="A419" t="s">
        <v>715</v>
      </c>
      <c r="B419" s="1">
        <v>45317</v>
      </c>
      <c r="C419" s="1">
        <v>45320</v>
      </c>
      <c r="D419" t="s">
        <v>59</v>
      </c>
      <c r="E419" t="s">
        <v>403</v>
      </c>
      <c r="F419" t="s">
        <v>35</v>
      </c>
      <c r="G419" t="s">
        <v>107</v>
      </c>
      <c r="I419" t="s">
        <v>22</v>
      </c>
      <c r="J419" t="s">
        <v>23</v>
      </c>
      <c r="K419" t="s">
        <v>178</v>
      </c>
      <c r="L419">
        <v>1</v>
      </c>
      <c r="M419">
        <v>229.1</v>
      </c>
      <c r="N419">
        <v>0.15</v>
      </c>
      <c r="O419">
        <v>229.1</v>
      </c>
      <c r="P419">
        <v>72.400000000000006</v>
      </c>
    </row>
    <row r="420" spans="1:16" x14ac:dyDescent="0.35">
      <c r="A420" t="s">
        <v>716</v>
      </c>
      <c r="B420" s="1">
        <v>45441</v>
      </c>
      <c r="C420" s="1">
        <v>45442</v>
      </c>
      <c r="D420" t="s">
        <v>17</v>
      </c>
      <c r="E420" t="s">
        <v>717</v>
      </c>
      <c r="F420" t="s">
        <v>35</v>
      </c>
      <c r="G420" t="s">
        <v>288</v>
      </c>
      <c r="H420" t="s">
        <v>112</v>
      </c>
      <c r="I420" t="s">
        <v>30</v>
      </c>
      <c r="J420" t="s">
        <v>41</v>
      </c>
      <c r="K420" t="s">
        <v>191</v>
      </c>
      <c r="L420">
        <v>7</v>
      </c>
      <c r="M420">
        <v>399.45</v>
      </c>
      <c r="N420">
        <v>0.15</v>
      </c>
      <c r="O420">
        <v>2796.15</v>
      </c>
      <c r="P420">
        <v>-266.76</v>
      </c>
    </row>
    <row r="421" spans="1:16" x14ac:dyDescent="0.35">
      <c r="A421" t="s">
        <v>718</v>
      </c>
      <c r="B421" s="1">
        <v>45056</v>
      </c>
      <c r="C421" s="1">
        <v>45059</v>
      </c>
      <c r="D421" t="s">
        <v>65</v>
      </c>
      <c r="E421" t="s">
        <v>576</v>
      </c>
      <c r="F421" t="s">
        <v>19</v>
      </c>
      <c r="G421" t="s">
        <v>187</v>
      </c>
      <c r="H421" t="s">
        <v>29</v>
      </c>
      <c r="I421" t="s">
        <v>22</v>
      </c>
      <c r="J421" t="s">
        <v>74</v>
      </c>
      <c r="K421" t="s">
        <v>253</v>
      </c>
      <c r="L421">
        <v>10</v>
      </c>
      <c r="M421">
        <v>432.74</v>
      </c>
      <c r="N421">
        <v>0.1</v>
      </c>
      <c r="O421">
        <v>4327.3999999999996</v>
      </c>
      <c r="P421">
        <v>1463.42</v>
      </c>
    </row>
    <row r="422" spans="1:16" x14ac:dyDescent="0.35">
      <c r="A422" t="s">
        <v>719</v>
      </c>
      <c r="B422" s="1">
        <v>45587</v>
      </c>
      <c r="C422" s="1">
        <v>45590</v>
      </c>
      <c r="D422" t="s">
        <v>65</v>
      </c>
      <c r="E422" t="s">
        <v>261</v>
      </c>
      <c r="F422" t="s">
        <v>35</v>
      </c>
      <c r="G422" t="s">
        <v>128</v>
      </c>
      <c r="H422" t="s">
        <v>112</v>
      </c>
      <c r="I422" t="s">
        <v>30</v>
      </c>
      <c r="J422" t="s">
        <v>31</v>
      </c>
      <c r="K422" t="s">
        <v>87</v>
      </c>
      <c r="L422">
        <v>2</v>
      </c>
      <c r="M422">
        <v>486.18</v>
      </c>
      <c r="N422">
        <v>0.15</v>
      </c>
      <c r="O422">
        <v>972.36</v>
      </c>
      <c r="P422">
        <v>-16.920000000000002</v>
      </c>
    </row>
    <row r="423" spans="1:16" x14ac:dyDescent="0.35">
      <c r="A423" t="s">
        <v>720</v>
      </c>
      <c r="B423" s="1">
        <v>45602</v>
      </c>
      <c r="C423" s="1">
        <v>45607</v>
      </c>
      <c r="D423" t="s">
        <v>59</v>
      </c>
      <c r="E423" t="s">
        <v>688</v>
      </c>
      <c r="F423" t="s">
        <v>27</v>
      </c>
      <c r="G423" t="s">
        <v>332</v>
      </c>
      <c r="H423" t="s">
        <v>123</v>
      </c>
      <c r="I423" t="s">
        <v>52</v>
      </c>
      <c r="J423" t="s">
        <v>53</v>
      </c>
      <c r="K423" t="s">
        <v>54</v>
      </c>
      <c r="L423">
        <v>7</v>
      </c>
      <c r="M423">
        <v>355.04</v>
      </c>
      <c r="N423">
        <v>0</v>
      </c>
      <c r="O423">
        <v>2485.2800000000002</v>
      </c>
      <c r="P423">
        <v>-212.32</v>
      </c>
    </row>
    <row r="424" spans="1:16" x14ac:dyDescent="0.35">
      <c r="A424" t="s">
        <v>721</v>
      </c>
      <c r="B424" s="1">
        <v>44968</v>
      </c>
      <c r="C424" s="1">
        <v>44970</v>
      </c>
      <c r="D424" t="s">
        <v>17</v>
      </c>
      <c r="E424" t="s">
        <v>131</v>
      </c>
      <c r="F424" t="s">
        <v>27</v>
      </c>
      <c r="G424" t="s">
        <v>67</v>
      </c>
      <c r="H424" t="s">
        <v>21</v>
      </c>
      <c r="I424" t="s">
        <v>30</v>
      </c>
      <c r="J424" t="s">
        <v>31</v>
      </c>
      <c r="K424" t="s">
        <v>57</v>
      </c>
      <c r="L424">
        <v>6</v>
      </c>
      <c r="M424">
        <v>595.92999999999995</v>
      </c>
      <c r="N424">
        <v>0</v>
      </c>
      <c r="O424">
        <v>3575.58</v>
      </c>
      <c r="P424">
        <v>-447.12</v>
      </c>
    </row>
    <row r="425" spans="1:16" x14ac:dyDescent="0.35">
      <c r="A425" t="s">
        <v>722</v>
      </c>
      <c r="B425" s="1">
        <v>45598</v>
      </c>
      <c r="C425" s="1">
        <v>45603</v>
      </c>
      <c r="D425" t="s">
        <v>59</v>
      </c>
      <c r="E425" t="s">
        <v>723</v>
      </c>
      <c r="F425" t="s">
        <v>27</v>
      </c>
      <c r="G425" t="s">
        <v>128</v>
      </c>
      <c r="H425" t="s">
        <v>112</v>
      </c>
      <c r="I425" t="s">
        <v>30</v>
      </c>
      <c r="J425" t="s">
        <v>41</v>
      </c>
      <c r="K425" t="s">
        <v>124</v>
      </c>
      <c r="L425">
        <v>12</v>
      </c>
      <c r="M425">
        <v>68.3</v>
      </c>
      <c r="N425">
        <v>0.15</v>
      </c>
      <c r="O425">
        <v>819.6</v>
      </c>
      <c r="P425">
        <v>33.35</v>
      </c>
    </row>
    <row r="426" spans="1:16" x14ac:dyDescent="0.35">
      <c r="A426" t="s">
        <v>724</v>
      </c>
      <c r="B426" s="1">
        <v>45518</v>
      </c>
      <c r="C426" s="1">
        <v>45522</v>
      </c>
      <c r="D426" t="s">
        <v>44</v>
      </c>
      <c r="E426" t="s">
        <v>510</v>
      </c>
      <c r="F426" t="s">
        <v>19</v>
      </c>
      <c r="H426" t="s">
        <v>159</v>
      </c>
      <c r="I426" t="s">
        <v>52</v>
      </c>
      <c r="J426" t="s">
        <v>68</v>
      </c>
      <c r="K426" t="s">
        <v>108</v>
      </c>
      <c r="L426">
        <v>4</v>
      </c>
      <c r="M426">
        <v>94.12</v>
      </c>
      <c r="N426">
        <v>0.3</v>
      </c>
      <c r="O426">
        <v>376.48</v>
      </c>
      <c r="P426">
        <v>-32.69</v>
      </c>
    </row>
    <row r="427" spans="1:16" x14ac:dyDescent="0.35">
      <c r="A427" t="s">
        <v>725</v>
      </c>
      <c r="B427" s="1">
        <v>45531</v>
      </c>
      <c r="C427" s="1">
        <v>45538</v>
      </c>
      <c r="D427" t="s">
        <v>65</v>
      </c>
      <c r="E427" t="s">
        <v>395</v>
      </c>
      <c r="F427" t="s">
        <v>35</v>
      </c>
      <c r="G427" t="s">
        <v>86</v>
      </c>
      <c r="H427" t="s">
        <v>29</v>
      </c>
      <c r="I427" t="s">
        <v>30</v>
      </c>
      <c r="J427" t="s">
        <v>99</v>
      </c>
      <c r="K427" t="s">
        <v>100</v>
      </c>
      <c r="L427">
        <v>5</v>
      </c>
      <c r="M427">
        <v>440.66</v>
      </c>
      <c r="N427">
        <v>0.1</v>
      </c>
      <c r="O427">
        <v>2203.3000000000002</v>
      </c>
      <c r="P427">
        <v>454.86</v>
      </c>
    </row>
    <row r="428" spans="1:16" x14ac:dyDescent="0.35">
      <c r="A428" t="s">
        <v>726</v>
      </c>
      <c r="B428" s="1">
        <v>45296</v>
      </c>
      <c r="C428" s="1">
        <v>45303</v>
      </c>
      <c r="D428" t="s">
        <v>17</v>
      </c>
      <c r="E428" t="s">
        <v>727</v>
      </c>
      <c r="F428" t="s">
        <v>27</v>
      </c>
      <c r="G428" t="s">
        <v>86</v>
      </c>
      <c r="H428" t="s">
        <v>29</v>
      </c>
      <c r="I428" t="s">
        <v>30</v>
      </c>
      <c r="J428" t="s">
        <v>31</v>
      </c>
      <c r="K428" t="s">
        <v>32</v>
      </c>
      <c r="L428">
        <v>1</v>
      </c>
      <c r="M428">
        <v>673.56</v>
      </c>
      <c r="N428">
        <v>0</v>
      </c>
      <c r="O428">
        <v>673.56</v>
      </c>
      <c r="P428">
        <v>222.97</v>
      </c>
    </row>
    <row r="429" spans="1:16" x14ac:dyDescent="0.35">
      <c r="A429" t="s">
        <v>728</v>
      </c>
      <c r="B429" s="1">
        <v>45548</v>
      </c>
      <c r="C429" s="1">
        <v>45555</v>
      </c>
      <c r="D429" t="s">
        <v>59</v>
      </c>
      <c r="E429" t="s">
        <v>567</v>
      </c>
      <c r="F429" t="s">
        <v>19</v>
      </c>
      <c r="G429" t="s">
        <v>181</v>
      </c>
      <c r="H429" t="s">
        <v>46</v>
      </c>
      <c r="I429" t="s">
        <v>30</v>
      </c>
      <c r="J429" t="s">
        <v>99</v>
      </c>
      <c r="K429" t="s">
        <v>100</v>
      </c>
      <c r="L429">
        <v>3</v>
      </c>
      <c r="M429">
        <v>779.08</v>
      </c>
      <c r="N429">
        <v>0.3</v>
      </c>
      <c r="O429">
        <v>2337.2399999999998</v>
      </c>
      <c r="P429">
        <v>558.04</v>
      </c>
    </row>
    <row r="430" spans="1:16" x14ac:dyDescent="0.35">
      <c r="A430" t="s">
        <v>729</v>
      </c>
      <c r="B430" s="1">
        <v>45101</v>
      </c>
      <c r="C430" s="1">
        <v>45106</v>
      </c>
      <c r="D430" t="s">
        <v>65</v>
      </c>
      <c r="F430" t="s">
        <v>27</v>
      </c>
      <c r="G430" t="s">
        <v>181</v>
      </c>
      <c r="H430" t="s">
        <v>83</v>
      </c>
      <c r="I430" t="s">
        <v>22</v>
      </c>
      <c r="J430" t="s">
        <v>37</v>
      </c>
      <c r="K430" t="s">
        <v>144</v>
      </c>
      <c r="L430">
        <v>4</v>
      </c>
      <c r="M430">
        <v>643.64</v>
      </c>
      <c r="N430">
        <v>0</v>
      </c>
      <c r="O430">
        <v>2574.56</v>
      </c>
      <c r="P430">
        <v>831.65</v>
      </c>
    </row>
    <row r="431" spans="1:16" x14ac:dyDescent="0.35">
      <c r="A431" t="s">
        <v>730</v>
      </c>
      <c r="B431" s="1">
        <v>44946</v>
      </c>
      <c r="C431" s="1">
        <v>44950</v>
      </c>
      <c r="D431" t="s">
        <v>17</v>
      </c>
      <c r="E431" t="s">
        <v>340</v>
      </c>
      <c r="F431" t="s">
        <v>19</v>
      </c>
      <c r="G431" t="s">
        <v>51</v>
      </c>
      <c r="H431" t="s">
        <v>21</v>
      </c>
      <c r="I431" t="s">
        <v>52</v>
      </c>
      <c r="J431" t="s">
        <v>194</v>
      </c>
      <c r="K431" t="s">
        <v>306</v>
      </c>
      <c r="L431">
        <v>8</v>
      </c>
      <c r="M431">
        <v>786.17</v>
      </c>
      <c r="N431">
        <v>0.2</v>
      </c>
      <c r="O431">
        <v>6289.36</v>
      </c>
      <c r="P431">
        <v>1344.04</v>
      </c>
    </row>
    <row r="432" spans="1:16" x14ac:dyDescent="0.35">
      <c r="A432" t="s">
        <v>731</v>
      </c>
      <c r="B432" s="1">
        <v>45198</v>
      </c>
      <c r="C432" s="1">
        <v>45201</v>
      </c>
      <c r="D432" t="s">
        <v>59</v>
      </c>
      <c r="E432" t="s">
        <v>243</v>
      </c>
      <c r="F432" t="s">
        <v>35</v>
      </c>
      <c r="G432" t="s">
        <v>107</v>
      </c>
      <c r="H432" t="s">
        <v>83</v>
      </c>
      <c r="I432" t="s">
        <v>22</v>
      </c>
      <c r="J432" t="s">
        <v>115</v>
      </c>
      <c r="K432" t="s">
        <v>133</v>
      </c>
      <c r="L432">
        <v>9</v>
      </c>
      <c r="M432">
        <v>210.15</v>
      </c>
      <c r="N432">
        <v>0</v>
      </c>
      <c r="O432">
        <v>1891.35</v>
      </c>
      <c r="P432">
        <v>616.59</v>
      </c>
    </row>
    <row r="433" spans="1:16" x14ac:dyDescent="0.35">
      <c r="A433" t="s">
        <v>732</v>
      </c>
      <c r="B433" s="1">
        <v>45517</v>
      </c>
      <c r="C433" s="1">
        <v>45524</v>
      </c>
      <c r="E433" t="s">
        <v>171</v>
      </c>
      <c r="F433" t="s">
        <v>19</v>
      </c>
      <c r="G433" t="s">
        <v>128</v>
      </c>
      <c r="H433" t="s">
        <v>112</v>
      </c>
      <c r="I433" t="s">
        <v>52</v>
      </c>
      <c r="J433" t="s">
        <v>194</v>
      </c>
      <c r="K433" t="s">
        <v>361</v>
      </c>
      <c r="L433">
        <v>7</v>
      </c>
      <c r="M433">
        <v>15.33</v>
      </c>
      <c r="N433">
        <v>0.3</v>
      </c>
      <c r="O433">
        <v>107.31</v>
      </c>
      <c r="P433">
        <v>15.74</v>
      </c>
    </row>
    <row r="434" spans="1:16" x14ac:dyDescent="0.35">
      <c r="A434" t="s">
        <v>733</v>
      </c>
      <c r="B434" s="1">
        <v>45590</v>
      </c>
      <c r="C434" s="1">
        <v>45591</v>
      </c>
      <c r="D434" t="s">
        <v>17</v>
      </c>
      <c r="E434" t="s">
        <v>463</v>
      </c>
      <c r="F434" t="s">
        <v>19</v>
      </c>
      <c r="H434" t="s">
        <v>159</v>
      </c>
      <c r="I434" t="s">
        <v>22</v>
      </c>
      <c r="J434" t="s">
        <v>23</v>
      </c>
      <c r="K434" t="s">
        <v>24</v>
      </c>
      <c r="L434">
        <v>8</v>
      </c>
      <c r="M434">
        <v>212.51</v>
      </c>
      <c r="N434">
        <v>0.1</v>
      </c>
      <c r="O434">
        <v>1700.08</v>
      </c>
      <c r="P434">
        <v>280.31</v>
      </c>
    </row>
    <row r="435" spans="1:16" x14ac:dyDescent="0.35">
      <c r="A435" t="s">
        <v>734</v>
      </c>
      <c r="B435" s="1">
        <v>44941</v>
      </c>
      <c r="C435" s="1">
        <v>44945</v>
      </c>
      <c r="D435" t="s">
        <v>59</v>
      </c>
      <c r="E435" t="s">
        <v>291</v>
      </c>
      <c r="F435" t="s">
        <v>35</v>
      </c>
      <c r="G435" t="s">
        <v>211</v>
      </c>
      <c r="H435" t="s">
        <v>159</v>
      </c>
      <c r="I435" t="s">
        <v>30</v>
      </c>
      <c r="J435" t="s">
        <v>41</v>
      </c>
      <c r="K435" t="s">
        <v>42</v>
      </c>
      <c r="L435">
        <v>3</v>
      </c>
      <c r="M435">
        <v>247.45</v>
      </c>
      <c r="N435">
        <v>0</v>
      </c>
      <c r="O435">
        <v>742.35</v>
      </c>
      <c r="P435">
        <v>-103.31</v>
      </c>
    </row>
    <row r="436" spans="1:16" x14ac:dyDescent="0.35">
      <c r="A436" t="s">
        <v>735</v>
      </c>
      <c r="B436" s="1">
        <v>45427</v>
      </c>
      <c r="C436" s="1">
        <v>45430</v>
      </c>
      <c r="D436" t="s">
        <v>59</v>
      </c>
      <c r="E436" t="s">
        <v>368</v>
      </c>
      <c r="F436" t="s">
        <v>35</v>
      </c>
      <c r="G436" t="s">
        <v>111</v>
      </c>
      <c r="H436" t="s">
        <v>129</v>
      </c>
      <c r="I436" t="s">
        <v>30</v>
      </c>
      <c r="J436" t="s">
        <v>31</v>
      </c>
      <c r="K436" t="s">
        <v>57</v>
      </c>
      <c r="L436">
        <v>1</v>
      </c>
      <c r="M436">
        <v>674.75</v>
      </c>
      <c r="N436">
        <v>0.15</v>
      </c>
      <c r="O436">
        <v>674.75</v>
      </c>
      <c r="P436">
        <v>-3.69</v>
      </c>
    </row>
    <row r="437" spans="1:16" x14ac:dyDescent="0.35">
      <c r="A437" t="s">
        <v>736</v>
      </c>
      <c r="B437" s="1">
        <v>45227</v>
      </c>
      <c r="C437" s="1">
        <v>45233</v>
      </c>
      <c r="D437" t="s">
        <v>17</v>
      </c>
      <c r="E437" t="s">
        <v>737</v>
      </c>
      <c r="F437" t="s">
        <v>35</v>
      </c>
      <c r="G437" t="s">
        <v>103</v>
      </c>
      <c r="H437" t="s">
        <v>62</v>
      </c>
      <c r="I437" t="s">
        <v>30</v>
      </c>
      <c r="J437" t="s">
        <v>31</v>
      </c>
      <c r="K437" t="s">
        <v>57</v>
      </c>
      <c r="L437">
        <v>4</v>
      </c>
      <c r="M437">
        <v>785.3</v>
      </c>
      <c r="N437">
        <v>0.1</v>
      </c>
      <c r="O437">
        <v>3141.2</v>
      </c>
      <c r="P437">
        <v>537.26</v>
      </c>
    </row>
    <row r="438" spans="1:16" x14ac:dyDescent="0.35">
      <c r="A438" t="s">
        <v>738</v>
      </c>
      <c r="B438" s="1">
        <v>45550</v>
      </c>
      <c r="C438" s="1">
        <v>45555</v>
      </c>
      <c r="D438" t="s">
        <v>17</v>
      </c>
      <c r="E438" t="s">
        <v>204</v>
      </c>
      <c r="F438" t="s">
        <v>19</v>
      </c>
      <c r="G438" t="s">
        <v>181</v>
      </c>
      <c r="H438" t="s">
        <v>123</v>
      </c>
      <c r="I438" t="s">
        <v>22</v>
      </c>
      <c r="J438" t="s">
        <v>115</v>
      </c>
      <c r="K438" t="s">
        <v>133</v>
      </c>
      <c r="L438">
        <v>12</v>
      </c>
      <c r="M438">
        <v>752.15</v>
      </c>
      <c r="N438">
        <v>0</v>
      </c>
      <c r="O438">
        <v>9025.7999999999993</v>
      </c>
      <c r="P438">
        <v>2065.37</v>
      </c>
    </row>
    <row r="439" spans="1:16" x14ac:dyDescent="0.35">
      <c r="A439" t="s">
        <v>739</v>
      </c>
      <c r="B439" s="1">
        <v>45501</v>
      </c>
      <c r="C439" s="1">
        <v>45502</v>
      </c>
      <c r="D439" t="s">
        <v>65</v>
      </c>
      <c r="E439" t="s">
        <v>200</v>
      </c>
      <c r="F439" t="s">
        <v>27</v>
      </c>
      <c r="G439" t="s">
        <v>28</v>
      </c>
      <c r="H439" t="s">
        <v>29</v>
      </c>
      <c r="I439" t="s">
        <v>52</v>
      </c>
      <c r="J439" t="s">
        <v>194</v>
      </c>
      <c r="K439" t="s">
        <v>195</v>
      </c>
      <c r="L439">
        <v>4</v>
      </c>
      <c r="M439">
        <v>352.46</v>
      </c>
      <c r="N439">
        <v>0.1</v>
      </c>
      <c r="O439">
        <v>1409.84</v>
      </c>
      <c r="P439">
        <v>260.22000000000003</v>
      </c>
    </row>
    <row r="440" spans="1:16" x14ac:dyDescent="0.35">
      <c r="A440" t="s">
        <v>740</v>
      </c>
      <c r="B440" s="1">
        <v>45219</v>
      </c>
      <c r="C440" s="1">
        <v>45224</v>
      </c>
      <c r="D440" t="s">
        <v>59</v>
      </c>
      <c r="E440" t="s">
        <v>617</v>
      </c>
      <c r="F440" t="s">
        <v>19</v>
      </c>
      <c r="G440" t="s">
        <v>28</v>
      </c>
      <c r="H440" t="s">
        <v>29</v>
      </c>
      <c r="I440" t="s">
        <v>52</v>
      </c>
      <c r="J440" t="s">
        <v>53</v>
      </c>
      <c r="K440" t="s">
        <v>54</v>
      </c>
      <c r="L440">
        <v>12</v>
      </c>
      <c r="M440">
        <v>517.64</v>
      </c>
      <c r="N440">
        <v>0.2</v>
      </c>
      <c r="O440">
        <v>6211.68</v>
      </c>
      <c r="P440">
        <v>374.99</v>
      </c>
    </row>
    <row r="441" spans="1:16" x14ac:dyDescent="0.35">
      <c r="A441" t="s">
        <v>741</v>
      </c>
      <c r="B441" s="1">
        <v>44940</v>
      </c>
      <c r="C441" s="1">
        <v>44942</v>
      </c>
      <c r="D441" t="s">
        <v>65</v>
      </c>
      <c r="E441" t="s">
        <v>120</v>
      </c>
      <c r="F441" t="s">
        <v>35</v>
      </c>
      <c r="G441" t="s">
        <v>132</v>
      </c>
      <c r="H441" t="s">
        <v>129</v>
      </c>
      <c r="I441" t="s">
        <v>22</v>
      </c>
      <c r="J441" t="s">
        <v>37</v>
      </c>
      <c r="K441" t="s">
        <v>144</v>
      </c>
      <c r="L441">
        <v>6</v>
      </c>
      <c r="M441">
        <v>623.14</v>
      </c>
      <c r="N441">
        <v>0.2</v>
      </c>
      <c r="O441">
        <v>3738.84</v>
      </c>
      <c r="P441">
        <v>701.22</v>
      </c>
    </row>
    <row r="442" spans="1:16" x14ac:dyDescent="0.35">
      <c r="A442" t="s">
        <v>742</v>
      </c>
      <c r="B442" s="1">
        <v>45192</v>
      </c>
      <c r="C442" s="1">
        <v>45194</v>
      </c>
      <c r="D442" t="s">
        <v>65</v>
      </c>
      <c r="E442" t="s">
        <v>685</v>
      </c>
      <c r="F442" t="s">
        <v>27</v>
      </c>
      <c r="G442" t="s">
        <v>90</v>
      </c>
      <c r="H442" t="s">
        <v>73</v>
      </c>
      <c r="I442" t="s">
        <v>52</v>
      </c>
      <c r="J442" t="s">
        <v>78</v>
      </c>
      <c r="K442" t="s">
        <v>96</v>
      </c>
      <c r="L442">
        <v>3</v>
      </c>
      <c r="M442">
        <v>451.4</v>
      </c>
      <c r="N442">
        <v>0</v>
      </c>
      <c r="O442">
        <v>1354.2</v>
      </c>
      <c r="P442">
        <v>80.64</v>
      </c>
    </row>
    <row r="443" spans="1:16" x14ac:dyDescent="0.35">
      <c r="A443" t="s">
        <v>743</v>
      </c>
      <c r="B443" s="1">
        <v>45555</v>
      </c>
      <c r="C443" s="1">
        <v>45561</v>
      </c>
      <c r="D443" t="s">
        <v>44</v>
      </c>
      <c r="E443" t="s">
        <v>708</v>
      </c>
      <c r="F443" t="s">
        <v>19</v>
      </c>
      <c r="G443" t="s">
        <v>90</v>
      </c>
      <c r="H443" t="s">
        <v>73</v>
      </c>
      <c r="I443" t="s">
        <v>30</v>
      </c>
      <c r="J443" t="s">
        <v>31</v>
      </c>
      <c r="K443" t="s">
        <v>57</v>
      </c>
      <c r="L443">
        <v>11</v>
      </c>
      <c r="M443">
        <v>838.03</v>
      </c>
      <c r="N443">
        <v>0.15</v>
      </c>
      <c r="O443">
        <v>9218.33</v>
      </c>
      <c r="P443">
        <v>-64.5</v>
      </c>
    </row>
    <row r="444" spans="1:16" x14ac:dyDescent="0.35">
      <c r="A444" t="s">
        <v>744</v>
      </c>
      <c r="B444" s="1">
        <v>45300</v>
      </c>
      <c r="C444" s="1">
        <v>45301</v>
      </c>
      <c r="E444" t="s">
        <v>293</v>
      </c>
      <c r="F444" t="s">
        <v>27</v>
      </c>
      <c r="G444" t="s">
        <v>187</v>
      </c>
      <c r="H444" t="s">
        <v>29</v>
      </c>
      <c r="I444" t="s">
        <v>22</v>
      </c>
      <c r="J444" t="s">
        <v>74</v>
      </c>
      <c r="K444" t="s">
        <v>165</v>
      </c>
      <c r="L444">
        <v>12</v>
      </c>
      <c r="M444">
        <v>533.19000000000005</v>
      </c>
      <c r="N444">
        <v>0</v>
      </c>
      <c r="O444">
        <v>6398.28</v>
      </c>
      <c r="P444">
        <v>687.48</v>
      </c>
    </row>
    <row r="445" spans="1:16" x14ac:dyDescent="0.35">
      <c r="A445" t="s">
        <v>745</v>
      </c>
      <c r="B445" s="1">
        <v>45539</v>
      </c>
      <c r="C445" s="1">
        <v>45542</v>
      </c>
      <c r="D445" t="s">
        <v>44</v>
      </c>
      <c r="E445" t="s">
        <v>373</v>
      </c>
      <c r="F445" t="s">
        <v>35</v>
      </c>
      <c r="G445" t="s">
        <v>67</v>
      </c>
      <c r="I445" t="s">
        <v>30</v>
      </c>
      <c r="J445" t="s">
        <v>31</v>
      </c>
      <c r="K445" t="s">
        <v>32</v>
      </c>
      <c r="L445">
        <v>4</v>
      </c>
      <c r="M445">
        <v>282.76</v>
      </c>
      <c r="N445">
        <v>0.15</v>
      </c>
      <c r="O445">
        <v>1131.04</v>
      </c>
      <c r="P445">
        <v>-75.81</v>
      </c>
    </row>
    <row r="446" spans="1:16" x14ac:dyDescent="0.35">
      <c r="A446" t="s">
        <v>746</v>
      </c>
      <c r="B446" s="1">
        <v>45260</v>
      </c>
      <c r="C446" s="1">
        <v>45261</v>
      </c>
      <c r="D446" t="s">
        <v>44</v>
      </c>
      <c r="E446" t="s">
        <v>631</v>
      </c>
      <c r="F446" t="s">
        <v>35</v>
      </c>
      <c r="G446" t="s">
        <v>61</v>
      </c>
      <c r="H446" t="s">
        <v>62</v>
      </c>
      <c r="I446" t="s">
        <v>30</v>
      </c>
      <c r="J446" t="s">
        <v>31</v>
      </c>
      <c r="K446" t="s">
        <v>57</v>
      </c>
      <c r="L446">
        <v>11</v>
      </c>
      <c r="M446">
        <v>801.59</v>
      </c>
      <c r="N446">
        <v>0.2</v>
      </c>
      <c r="O446">
        <v>8817.49</v>
      </c>
      <c r="P446">
        <v>-99.75</v>
      </c>
    </row>
    <row r="447" spans="1:16" x14ac:dyDescent="0.35">
      <c r="A447" t="s">
        <v>747</v>
      </c>
      <c r="B447" s="1">
        <v>45401</v>
      </c>
      <c r="C447" s="1">
        <v>45403</v>
      </c>
      <c r="D447" t="s">
        <v>59</v>
      </c>
      <c r="E447" t="s">
        <v>748</v>
      </c>
      <c r="F447" t="s">
        <v>35</v>
      </c>
      <c r="G447" t="s">
        <v>111</v>
      </c>
      <c r="H447" t="s">
        <v>112</v>
      </c>
      <c r="I447" t="s">
        <v>30</v>
      </c>
      <c r="J447" t="s">
        <v>41</v>
      </c>
      <c r="K447" t="s">
        <v>124</v>
      </c>
      <c r="L447">
        <v>6</v>
      </c>
      <c r="M447">
        <v>421.26</v>
      </c>
      <c r="N447">
        <v>0.1</v>
      </c>
      <c r="O447">
        <v>2527.56</v>
      </c>
      <c r="P447">
        <v>741.9</v>
      </c>
    </row>
    <row r="448" spans="1:16" x14ac:dyDescent="0.35">
      <c r="A448" t="s">
        <v>749</v>
      </c>
      <c r="B448" s="1">
        <v>45160</v>
      </c>
      <c r="C448" s="1">
        <v>45163</v>
      </c>
      <c r="D448" t="s">
        <v>65</v>
      </c>
      <c r="E448" t="s">
        <v>750</v>
      </c>
      <c r="F448" t="s">
        <v>27</v>
      </c>
      <c r="G448" t="s">
        <v>111</v>
      </c>
      <c r="H448" t="s">
        <v>112</v>
      </c>
      <c r="I448" t="s">
        <v>30</v>
      </c>
      <c r="J448" t="s">
        <v>99</v>
      </c>
      <c r="K448" t="s">
        <v>208</v>
      </c>
      <c r="L448">
        <v>12</v>
      </c>
      <c r="M448">
        <v>778.05</v>
      </c>
      <c r="O448">
        <v>9336.6</v>
      </c>
      <c r="P448">
        <v>45.47</v>
      </c>
    </row>
    <row r="449" spans="1:16" x14ac:dyDescent="0.35">
      <c r="A449" t="s">
        <v>751</v>
      </c>
      <c r="B449" s="1">
        <v>45559</v>
      </c>
      <c r="C449" s="1">
        <v>45563</v>
      </c>
      <c r="D449" t="s">
        <v>59</v>
      </c>
      <c r="E449" t="s">
        <v>437</v>
      </c>
      <c r="F449" t="s">
        <v>19</v>
      </c>
      <c r="G449" t="s">
        <v>86</v>
      </c>
      <c r="H449" t="s">
        <v>29</v>
      </c>
      <c r="I449" t="s">
        <v>30</v>
      </c>
      <c r="J449" t="s">
        <v>41</v>
      </c>
      <c r="K449" t="s">
        <v>105</v>
      </c>
      <c r="L449">
        <v>12</v>
      </c>
      <c r="M449">
        <v>360.81</v>
      </c>
      <c r="N449">
        <v>0</v>
      </c>
      <c r="O449">
        <v>4329.72</v>
      </c>
      <c r="P449">
        <v>894.81</v>
      </c>
    </row>
    <row r="450" spans="1:16" x14ac:dyDescent="0.35">
      <c r="A450" t="s">
        <v>752</v>
      </c>
      <c r="B450" s="1">
        <v>45080</v>
      </c>
      <c r="C450" s="1">
        <v>45081</v>
      </c>
      <c r="D450" t="s">
        <v>17</v>
      </c>
      <c r="E450" t="s">
        <v>324</v>
      </c>
      <c r="F450" t="s">
        <v>35</v>
      </c>
      <c r="G450" t="s">
        <v>61</v>
      </c>
      <c r="H450" t="s">
        <v>62</v>
      </c>
      <c r="I450" t="s">
        <v>22</v>
      </c>
      <c r="J450" t="s">
        <v>74</v>
      </c>
      <c r="K450" t="s">
        <v>75</v>
      </c>
      <c r="L450">
        <v>11</v>
      </c>
      <c r="M450">
        <v>419.48</v>
      </c>
      <c r="N450">
        <v>0.2</v>
      </c>
      <c r="O450">
        <v>4614.28</v>
      </c>
      <c r="P450">
        <v>-476.91</v>
      </c>
    </row>
    <row r="451" spans="1:16" x14ac:dyDescent="0.35">
      <c r="A451" t="s">
        <v>753</v>
      </c>
      <c r="B451" s="1">
        <v>45216</v>
      </c>
      <c r="C451" s="1">
        <v>45223</v>
      </c>
      <c r="D451" t="s">
        <v>65</v>
      </c>
      <c r="E451" t="s">
        <v>158</v>
      </c>
      <c r="F451" t="s">
        <v>27</v>
      </c>
      <c r="G451" t="s">
        <v>132</v>
      </c>
      <c r="H451" t="s">
        <v>112</v>
      </c>
      <c r="I451" t="s">
        <v>52</v>
      </c>
      <c r="J451" t="s">
        <v>78</v>
      </c>
      <c r="K451" t="s">
        <v>96</v>
      </c>
      <c r="L451">
        <v>4</v>
      </c>
      <c r="M451">
        <v>797.6</v>
      </c>
      <c r="N451">
        <v>0</v>
      </c>
      <c r="O451">
        <v>3190.4</v>
      </c>
      <c r="P451">
        <v>746.3</v>
      </c>
    </row>
    <row r="452" spans="1:16" x14ac:dyDescent="0.35">
      <c r="A452" t="s">
        <v>754</v>
      </c>
      <c r="B452" s="1">
        <v>45441</v>
      </c>
      <c r="C452" s="1">
        <v>45447</v>
      </c>
      <c r="D452" t="s">
        <v>65</v>
      </c>
      <c r="E452" t="s">
        <v>478</v>
      </c>
      <c r="F452" t="s">
        <v>27</v>
      </c>
      <c r="G452" t="s">
        <v>67</v>
      </c>
      <c r="H452" t="s">
        <v>21</v>
      </c>
      <c r="I452" t="s">
        <v>22</v>
      </c>
      <c r="J452" t="s">
        <v>115</v>
      </c>
      <c r="K452" t="s">
        <v>133</v>
      </c>
      <c r="L452">
        <v>4</v>
      </c>
      <c r="M452">
        <v>861.84</v>
      </c>
      <c r="N452">
        <v>0.1</v>
      </c>
      <c r="O452">
        <v>3447.36</v>
      </c>
      <c r="P452">
        <v>-253.06</v>
      </c>
    </row>
    <row r="453" spans="1:16" x14ac:dyDescent="0.35">
      <c r="A453" t="s">
        <v>755</v>
      </c>
      <c r="B453" s="1">
        <v>45256</v>
      </c>
      <c r="C453" s="1">
        <v>45259</v>
      </c>
      <c r="D453" t="s">
        <v>44</v>
      </c>
      <c r="E453" t="s">
        <v>71</v>
      </c>
      <c r="F453" t="s">
        <v>35</v>
      </c>
      <c r="G453" t="s">
        <v>107</v>
      </c>
      <c r="H453" t="s">
        <v>123</v>
      </c>
      <c r="I453" t="s">
        <v>22</v>
      </c>
      <c r="J453" t="s">
        <v>23</v>
      </c>
      <c r="K453" t="s">
        <v>178</v>
      </c>
      <c r="L453">
        <v>10</v>
      </c>
      <c r="M453">
        <v>57.28</v>
      </c>
      <c r="N453">
        <v>0.1</v>
      </c>
      <c r="O453">
        <v>572.79999999999995</v>
      </c>
      <c r="P453">
        <v>134.22999999999999</v>
      </c>
    </row>
    <row r="454" spans="1:16" x14ac:dyDescent="0.35">
      <c r="A454" t="s">
        <v>756</v>
      </c>
      <c r="B454" s="1">
        <v>45116</v>
      </c>
      <c r="C454" s="1">
        <v>45121</v>
      </c>
      <c r="D454" t="s">
        <v>17</v>
      </c>
      <c r="E454" t="s">
        <v>424</v>
      </c>
      <c r="F454" t="s">
        <v>35</v>
      </c>
      <c r="G454" t="s">
        <v>181</v>
      </c>
      <c r="H454" t="s">
        <v>123</v>
      </c>
      <c r="I454" t="s">
        <v>30</v>
      </c>
      <c r="J454" t="s">
        <v>47</v>
      </c>
      <c r="K454" t="s">
        <v>94</v>
      </c>
      <c r="L454">
        <v>4</v>
      </c>
      <c r="M454">
        <v>631.47</v>
      </c>
      <c r="N454">
        <v>0.2</v>
      </c>
      <c r="O454">
        <v>2525.88</v>
      </c>
      <c r="P454">
        <v>583.05999999999995</v>
      </c>
    </row>
    <row r="455" spans="1:16" x14ac:dyDescent="0.35">
      <c r="A455" t="s">
        <v>757</v>
      </c>
      <c r="B455" s="1">
        <v>45339</v>
      </c>
      <c r="C455" s="1">
        <v>45346</v>
      </c>
      <c r="D455" t="s">
        <v>44</v>
      </c>
      <c r="E455" t="s">
        <v>758</v>
      </c>
      <c r="F455" t="s">
        <v>35</v>
      </c>
      <c r="G455" t="s">
        <v>288</v>
      </c>
      <c r="H455" t="s">
        <v>112</v>
      </c>
      <c r="I455" t="s">
        <v>52</v>
      </c>
      <c r="J455" t="s">
        <v>160</v>
      </c>
      <c r="K455" t="s">
        <v>161</v>
      </c>
      <c r="L455">
        <v>12</v>
      </c>
      <c r="M455">
        <v>564.72</v>
      </c>
      <c r="N455">
        <v>0.1</v>
      </c>
      <c r="O455">
        <v>6776.64</v>
      </c>
      <c r="P455">
        <v>2110.34</v>
      </c>
    </row>
    <row r="456" spans="1:16" x14ac:dyDescent="0.35">
      <c r="A456" t="s">
        <v>335</v>
      </c>
      <c r="B456" s="1">
        <v>44948</v>
      </c>
      <c r="C456" s="1">
        <v>44953</v>
      </c>
      <c r="D456" t="s">
        <v>17</v>
      </c>
      <c r="E456" t="s">
        <v>135</v>
      </c>
      <c r="F456" t="s">
        <v>27</v>
      </c>
      <c r="G456" t="s">
        <v>82</v>
      </c>
      <c r="H456" t="s">
        <v>123</v>
      </c>
      <c r="I456" t="s">
        <v>22</v>
      </c>
      <c r="J456" t="s">
        <v>37</v>
      </c>
      <c r="K456" t="s">
        <v>38</v>
      </c>
      <c r="L456">
        <v>1</v>
      </c>
      <c r="M456">
        <v>128.11000000000001</v>
      </c>
      <c r="N456">
        <v>0.1</v>
      </c>
      <c r="O456">
        <v>128.11000000000001</v>
      </c>
      <c r="P456">
        <v>-0.22</v>
      </c>
    </row>
    <row r="457" spans="1:16" x14ac:dyDescent="0.35">
      <c r="A457" t="s">
        <v>759</v>
      </c>
      <c r="B457" s="1">
        <v>45496</v>
      </c>
      <c r="C457" s="1">
        <v>45499</v>
      </c>
      <c r="D457" t="s">
        <v>44</v>
      </c>
      <c r="E457" t="s">
        <v>26</v>
      </c>
      <c r="F457" t="s">
        <v>27</v>
      </c>
      <c r="G457" t="s">
        <v>61</v>
      </c>
      <c r="H457" t="s">
        <v>73</v>
      </c>
      <c r="I457" t="s">
        <v>30</v>
      </c>
      <c r="J457" t="s">
        <v>47</v>
      </c>
      <c r="K457" t="s">
        <v>63</v>
      </c>
      <c r="L457">
        <v>5</v>
      </c>
      <c r="M457">
        <v>356.41</v>
      </c>
      <c r="N457">
        <v>0.2</v>
      </c>
      <c r="O457">
        <v>1782.05</v>
      </c>
      <c r="P457">
        <v>-13.03</v>
      </c>
    </row>
    <row r="458" spans="1:16" x14ac:dyDescent="0.35">
      <c r="A458" t="s">
        <v>760</v>
      </c>
      <c r="B458" s="1">
        <v>45285</v>
      </c>
      <c r="C458" s="1">
        <v>45290</v>
      </c>
      <c r="D458" t="s">
        <v>17</v>
      </c>
      <c r="E458" t="s">
        <v>207</v>
      </c>
      <c r="F458" t="s">
        <v>19</v>
      </c>
      <c r="G458" t="s">
        <v>288</v>
      </c>
      <c r="H458" t="s">
        <v>129</v>
      </c>
      <c r="I458" t="s">
        <v>30</v>
      </c>
      <c r="J458" t="s">
        <v>99</v>
      </c>
      <c r="K458" t="s">
        <v>247</v>
      </c>
      <c r="L458">
        <v>12</v>
      </c>
      <c r="M458">
        <v>768.22</v>
      </c>
      <c r="N458">
        <v>0</v>
      </c>
      <c r="O458">
        <v>9218.64</v>
      </c>
      <c r="P458">
        <v>2026.17</v>
      </c>
    </row>
    <row r="459" spans="1:16" x14ac:dyDescent="0.35">
      <c r="A459" t="s">
        <v>761</v>
      </c>
      <c r="B459" s="1">
        <v>45640</v>
      </c>
      <c r="C459" s="1">
        <v>45641</v>
      </c>
      <c r="D459" t="s">
        <v>17</v>
      </c>
      <c r="E459" t="s">
        <v>186</v>
      </c>
      <c r="F459" t="s">
        <v>27</v>
      </c>
      <c r="G459" t="s">
        <v>103</v>
      </c>
      <c r="H459" t="s">
        <v>62</v>
      </c>
      <c r="I459" t="s">
        <v>22</v>
      </c>
      <c r="J459" t="s">
        <v>115</v>
      </c>
      <c r="K459" t="s">
        <v>133</v>
      </c>
      <c r="L459">
        <v>1</v>
      </c>
      <c r="M459">
        <v>48.55</v>
      </c>
      <c r="N459">
        <v>0.1</v>
      </c>
      <c r="O459">
        <v>48.55</v>
      </c>
      <c r="P459">
        <v>11.34</v>
      </c>
    </row>
    <row r="460" spans="1:16" x14ac:dyDescent="0.35">
      <c r="A460" t="s">
        <v>762</v>
      </c>
      <c r="B460" s="1">
        <v>45381</v>
      </c>
      <c r="C460" s="1">
        <v>45383</v>
      </c>
      <c r="D460" t="s">
        <v>44</v>
      </c>
      <c r="E460" t="s">
        <v>272</v>
      </c>
      <c r="F460" t="s">
        <v>27</v>
      </c>
      <c r="G460" t="s">
        <v>61</v>
      </c>
      <c r="H460" t="s">
        <v>62</v>
      </c>
      <c r="I460" t="s">
        <v>52</v>
      </c>
      <c r="J460" t="s">
        <v>194</v>
      </c>
      <c r="K460" t="s">
        <v>361</v>
      </c>
      <c r="L460">
        <v>3</v>
      </c>
      <c r="M460">
        <v>16.440000000000001</v>
      </c>
      <c r="N460">
        <v>0.2</v>
      </c>
      <c r="O460">
        <v>49.32</v>
      </c>
      <c r="P460">
        <v>4.7300000000000004</v>
      </c>
    </row>
    <row r="461" spans="1:16" x14ac:dyDescent="0.35">
      <c r="A461" t="s">
        <v>763</v>
      </c>
      <c r="B461" s="1">
        <v>45629</v>
      </c>
      <c r="C461" s="1">
        <v>45631</v>
      </c>
      <c r="D461" t="s">
        <v>65</v>
      </c>
      <c r="E461" t="s">
        <v>34</v>
      </c>
      <c r="F461" t="s">
        <v>19</v>
      </c>
      <c r="G461" t="s">
        <v>86</v>
      </c>
      <c r="H461" t="s">
        <v>29</v>
      </c>
      <c r="I461" t="s">
        <v>30</v>
      </c>
      <c r="J461" t="s">
        <v>47</v>
      </c>
      <c r="K461" t="s">
        <v>94</v>
      </c>
      <c r="L461">
        <v>9</v>
      </c>
      <c r="M461">
        <v>138.31</v>
      </c>
      <c r="O461">
        <v>1244.79</v>
      </c>
      <c r="P461">
        <v>308.88</v>
      </c>
    </row>
    <row r="462" spans="1:16" x14ac:dyDescent="0.35">
      <c r="A462" t="s">
        <v>764</v>
      </c>
      <c r="B462" s="1">
        <v>45303</v>
      </c>
      <c r="C462" s="1">
        <v>45305</v>
      </c>
      <c r="D462" t="s">
        <v>59</v>
      </c>
      <c r="E462" t="s">
        <v>126</v>
      </c>
      <c r="F462" t="s">
        <v>35</v>
      </c>
      <c r="G462" t="s">
        <v>187</v>
      </c>
      <c r="H462" t="s">
        <v>29</v>
      </c>
      <c r="I462" t="s">
        <v>30</v>
      </c>
      <c r="J462" t="s">
        <v>47</v>
      </c>
      <c r="K462" t="s">
        <v>63</v>
      </c>
      <c r="L462">
        <v>1</v>
      </c>
      <c r="M462">
        <v>809.18</v>
      </c>
      <c r="N462">
        <v>0</v>
      </c>
      <c r="O462">
        <v>809.18</v>
      </c>
      <c r="P462">
        <v>-63.99</v>
      </c>
    </row>
    <row r="463" spans="1:16" x14ac:dyDescent="0.35">
      <c r="A463" t="s">
        <v>765</v>
      </c>
      <c r="B463" s="1">
        <v>45552</v>
      </c>
      <c r="C463" s="1">
        <v>45559</v>
      </c>
      <c r="D463" t="s">
        <v>65</v>
      </c>
      <c r="E463" t="s">
        <v>389</v>
      </c>
      <c r="F463" t="s">
        <v>35</v>
      </c>
      <c r="G463" t="s">
        <v>103</v>
      </c>
      <c r="H463" t="s">
        <v>73</v>
      </c>
      <c r="I463" t="s">
        <v>30</v>
      </c>
      <c r="J463" t="s">
        <v>41</v>
      </c>
      <c r="K463" t="s">
        <v>42</v>
      </c>
      <c r="L463">
        <v>6</v>
      </c>
      <c r="M463">
        <v>768.08</v>
      </c>
      <c r="N463">
        <v>0</v>
      </c>
      <c r="O463">
        <v>4608.4799999999996</v>
      </c>
      <c r="P463">
        <v>1455.27</v>
      </c>
    </row>
    <row r="464" spans="1:16" x14ac:dyDescent="0.35">
      <c r="A464" t="s">
        <v>766</v>
      </c>
      <c r="B464" s="1">
        <v>45512</v>
      </c>
      <c r="C464" s="1">
        <v>45514</v>
      </c>
      <c r="D464" t="s">
        <v>65</v>
      </c>
      <c r="E464" t="s">
        <v>98</v>
      </c>
      <c r="F464" t="s">
        <v>27</v>
      </c>
      <c r="G464" t="s">
        <v>51</v>
      </c>
      <c r="H464" t="s">
        <v>21</v>
      </c>
      <c r="I464" t="s">
        <v>30</v>
      </c>
      <c r="J464" t="s">
        <v>41</v>
      </c>
      <c r="K464" t="s">
        <v>124</v>
      </c>
      <c r="L464">
        <v>6</v>
      </c>
      <c r="M464">
        <v>211.01</v>
      </c>
      <c r="N464">
        <v>0</v>
      </c>
      <c r="O464">
        <v>1266.06</v>
      </c>
      <c r="P464">
        <v>104.61</v>
      </c>
    </row>
    <row r="465" spans="1:16" x14ac:dyDescent="0.35">
      <c r="A465" t="s">
        <v>767</v>
      </c>
      <c r="B465" s="1">
        <v>44960</v>
      </c>
      <c r="C465" s="1">
        <v>44962</v>
      </c>
      <c r="D465" t="s">
        <v>17</v>
      </c>
      <c r="E465" t="s">
        <v>768</v>
      </c>
      <c r="F465" t="s">
        <v>19</v>
      </c>
      <c r="G465" t="s">
        <v>90</v>
      </c>
      <c r="H465" t="s">
        <v>73</v>
      </c>
      <c r="I465" t="s">
        <v>22</v>
      </c>
      <c r="J465" t="s">
        <v>74</v>
      </c>
      <c r="K465" t="s">
        <v>75</v>
      </c>
      <c r="L465">
        <v>12</v>
      </c>
      <c r="M465">
        <v>74.64</v>
      </c>
      <c r="N465">
        <v>0</v>
      </c>
      <c r="O465">
        <v>895.68</v>
      </c>
      <c r="P465">
        <v>305.60000000000002</v>
      </c>
    </row>
    <row r="466" spans="1:16" x14ac:dyDescent="0.35">
      <c r="A466" t="s">
        <v>769</v>
      </c>
      <c r="B466" s="1">
        <v>45207</v>
      </c>
      <c r="C466" s="1">
        <v>45212</v>
      </c>
      <c r="D466" t="s">
        <v>44</v>
      </c>
      <c r="E466" t="s">
        <v>770</v>
      </c>
      <c r="F466" t="s">
        <v>35</v>
      </c>
      <c r="G466" t="s">
        <v>20</v>
      </c>
      <c r="H466" t="s">
        <v>36</v>
      </c>
      <c r="I466" t="s">
        <v>52</v>
      </c>
      <c r="J466" t="s">
        <v>53</v>
      </c>
      <c r="K466" t="s">
        <v>54</v>
      </c>
      <c r="L466">
        <v>2</v>
      </c>
      <c r="M466">
        <v>109.05</v>
      </c>
      <c r="N466">
        <v>0</v>
      </c>
      <c r="O466">
        <v>218.1</v>
      </c>
      <c r="P466">
        <v>-12.81</v>
      </c>
    </row>
    <row r="467" spans="1:16" x14ac:dyDescent="0.35">
      <c r="A467" t="s">
        <v>771</v>
      </c>
      <c r="B467" s="1">
        <v>45242</v>
      </c>
      <c r="C467" s="1">
        <v>45248</v>
      </c>
      <c r="D467" t="s">
        <v>17</v>
      </c>
      <c r="E467" t="s">
        <v>772</v>
      </c>
      <c r="F467" t="s">
        <v>27</v>
      </c>
      <c r="G467" t="s">
        <v>111</v>
      </c>
      <c r="H467" t="s">
        <v>112</v>
      </c>
      <c r="I467" t="s">
        <v>22</v>
      </c>
      <c r="J467" t="s">
        <v>115</v>
      </c>
      <c r="K467" t="s">
        <v>147</v>
      </c>
      <c r="L467">
        <v>12</v>
      </c>
      <c r="M467">
        <v>361.18</v>
      </c>
      <c r="N467">
        <v>0</v>
      </c>
      <c r="O467">
        <v>4334.16</v>
      </c>
      <c r="P467">
        <v>-636.21</v>
      </c>
    </row>
    <row r="468" spans="1:16" x14ac:dyDescent="0.35">
      <c r="A468" t="s">
        <v>773</v>
      </c>
      <c r="B468" s="1">
        <v>45516</v>
      </c>
      <c r="C468" s="1">
        <v>45523</v>
      </c>
      <c r="D468" t="s">
        <v>17</v>
      </c>
      <c r="E468" t="s">
        <v>241</v>
      </c>
      <c r="F468" t="s">
        <v>27</v>
      </c>
      <c r="G468" t="s">
        <v>90</v>
      </c>
      <c r="H468" t="s">
        <v>62</v>
      </c>
      <c r="I468" t="s">
        <v>30</v>
      </c>
      <c r="J468" t="s">
        <v>99</v>
      </c>
      <c r="K468" t="s">
        <v>100</v>
      </c>
      <c r="L468">
        <v>2</v>
      </c>
      <c r="M468">
        <v>836.94</v>
      </c>
      <c r="N468">
        <v>0.15</v>
      </c>
      <c r="O468">
        <v>1673.88</v>
      </c>
      <c r="P468">
        <v>-128.47999999999999</v>
      </c>
    </row>
    <row r="469" spans="1:16" x14ac:dyDescent="0.35">
      <c r="A469" t="s">
        <v>774</v>
      </c>
      <c r="B469" s="1">
        <v>45476</v>
      </c>
      <c r="C469" s="1">
        <v>45478</v>
      </c>
      <c r="D469" t="s">
        <v>44</v>
      </c>
      <c r="E469" t="s">
        <v>775</v>
      </c>
      <c r="F469" t="s">
        <v>35</v>
      </c>
      <c r="G469" t="s">
        <v>72</v>
      </c>
      <c r="H469" t="s">
        <v>73</v>
      </c>
      <c r="I469" t="s">
        <v>30</v>
      </c>
      <c r="J469" t="s">
        <v>99</v>
      </c>
      <c r="K469" t="s">
        <v>154</v>
      </c>
      <c r="L469">
        <v>10</v>
      </c>
      <c r="M469">
        <v>45.99</v>
      </c>
      <c r="N469">
        <v>0.2</v>
      </c>
      <c r="O469">
        <v>459.9</v>
      </c>
      <c r="P469">
        <v>80.2</v>
      </c>
    </row>
    <row r="470" spans="1:16" x14ac:dyDescent="0.35">
      <c r="A470" t="s">
        <v>776</v>
      </c>
      <c r="B470" s="1">
        <v>45095</v>
      </c>
      <c r="C470" s="1">
        <v>45101</v>
      </c>
      <c r="D470" t="s">
        <v>59</v>
      </c>
      <c r="E470" t="s">
        <v>281</v>
      </c>
      <c r="F470" t="s">
        <v>19</v>
      </c>
      <c r="G470" t="s">
        <v>67</v>
      </c>
      <c r="H470" t="s">
        <v>21</v>
      </c>
      <c r="I470" t="s">
        <v>30</v>
      </c>
      <c r="J470" t="s">
        <v>31</v>
      </c>
      <c r="K470" t="s">
        <v>32</v>
      </c>
      <c r="L470">
        <v>1</v>
      </c>
      <c r="M470">
        <v>805.22</v>
      </c>
      <c r="N470">
        <v>0</v>
      </c>
      <c r="O470">
        <v>805.22</v>
      </c>
      <c r="P470">
        <v>-13.38</v>
      </c>
    </row>
    <row r="471" spans="1:16" x14ac:dyDescent="0.35">
      <c r="A471" t="s">
        <v>777</v>
      </c>
      <c r="B471" s="1">
        <v>45279</v>
      </c>
      <c r="C471" s="1">
        <v>45285</v>
      </c>
      <c r="D471" t="s">
        <v>17</v>
      </c>
      <c r="E471" t="s">
        <v>419</v>
      </c>
      <c r="F471" t="s">
        <v>27</v>
      </c>
      <c r="G471" t="s">
        <v>128</v>
      </c>
      <c r="H471" t="s">
        <v>129</v>
      </c>
      <c r="I471" t="s">
        <v>52</v>
      </c>
      <c r="J471" t="s">
        <v>194</v>
      </c>
      <c r="K471" t="s">
        <v>306</v>
      </c>
      <c r="L471">
        <v>9</v>
      </c>
      <c r="M471">
        <v>428.8</v>
      </c>
      <c r="N471">
        <v>0.3</v>
      </c>
      <c r="O471">
        <v>3859.2</v>
      </c>
      <c r="P471">
        <v>-144.06</v>
      </c>
    </row>
    <row r="472" spans="1:16" x14ac:dyDescent="0.35">
      <c r="A472" t="s">
        <v>778</v>
      </c>
      <c r="B472" s="1">
        <v>45068</v>
      </c>
      <c r="C472" s="1">
        <v>45075</v>
      </c>
      <c r="D472" t="s">
        <v>44</v>
      </c>
      <c r="E472" t="s">
        <v>141</v>
      </c>
      <c r="F472" t="s">
        <v>35</v>
      </c>
      <c r="G472" t="s">
        <v>107</v>
      </c>
      <c r="H472" t="s">
        <v>46</v>
      </c>
      <c r="I472" t="s">
        <v>22</v>
      </c>
      <c r="J472" t="s">
        <v>23</v>
      </c>
      <c r="K472" t="s">
        <v>178</v>
      </c>
      <c r="L472">
        <v>7</v>
      </c>
      <c r="M472">
        <v>708.54</v>
      </c>
      <c r="N472">
        <v>0.3</v>
      </c>
      <c r="O472">
        <v>4959.78</v>
      </c>
      <c r="P472">
        <v>621.4</v>
      </c>
    </row>
    <row r="473" spans="1:16" x14ac:dyDescent="0.35">
      <c r="A473" t="s">
        <v>779</v>
      </c>
      <c r="B473" s="1">
        <v>45018</v>
      </c>
      <c r="C473" s="1">
        <v>45020</v>
      </c>
      <c r="E473" t="s">
        <v>56</v>
      </c>
      <c r="F473" t="s">
        <v>27</v>
      </c>
      <c r="G473" t="s">
        <v>20</v>
      </c>
      <c r="H473" t="s">
        <v>36</v>
      </c>
      <c r="I473" t="s">
        <v>52</v>
      </c>
      <c r="J473" t="s">
        <v>68</v>
      </c>
      <c r="K473" t="s">
        <v>216</v>
      </c>
      <c r="L473">
        <v>5</v>
      </c>
      <c r="M473">
        <v>420.07</v>
      </c>
      <c r="N473">
        <v>0</v>
      </c>
      <c r="O473">
        <v>2100.35</v>
      </c>
      <c r="P473">
        <v>179.09</v>
      </c>
    </row>
    <row r="474" spans="1:16" x14ac:dyDescent="0.35">
      <c r="A474" t="s">
        <v>780</v>
      </c>
      <c r="B474" s="1">
        <v>45563</v>
      </c>
      <c r="C474" s="1">
        <v>45567</v>
      </c>
      <c r="D474" t="s">
        <v>44</v>
      </c>
      <c r="E474" t="s">
        <v>781</v>
      </c>
      <c r="F474" t="s">
        <v>35</v>
      </c>
      <c r="G474" t="s">
        <v>20</v>
      </c>
      <c r="H474" t="s">
        <v>21</v>
      </c>
      <c r="I474" t="s">
        <v>30</v>
      </c>
      <c r="J474" t="s">
        <v>99</v>
      </c>
      <c r="K474" t="s">
        <v>208</v>
      </c>
      <c r="L474">
        <v>2</v>
      </c>
      <c r="M474">
        <v>338.29</v>
      </c>
      <c r="N474">
        <v>0.3</v>
      </c>
      <c r="O474">
        <v>676.58</v>
      </c>
      <c r="P474">
        <v>165.07</v>
      </c>
    </row>
    <row r="475" spans="1:16" x14ac:dyDescent="0.35">
      <c r="A475" t="s">
        <v>782</v>
      </c>
      <c r="B475" s="1">
        <v>45004</v>
      </c>
      <c r="C475" s="1">
        <v>45006</v>
      </c>
      <c r="D475" t="s">
        <v>65</v>
      </c>
      <c r="E475" t="s">
        <v>151</v>
      </c>
      <c r="F475" t="s">
        <v>19</v>
      </c>
      <c r="G475" t="s">
        <v>132</v>
      </c>
      <c r="H475" t="s">
        <v>129</v>
      </c>
      <c r="I475" t="s">
        <v>22</v>
      </c>
      <c r="J475" t="s">
        <v>115</v>
      </c>
      <c r="K475" t="s">
        <v>116</v>
      </c>
      <c r="L475">
        <v>8</v>
      </c>
      <c r="M475">
        <v>66.12</v>
      </c>
      <c r="N475">
        <v>0.1</v>
      </c>
      <c r="O475">
        <v>528.96</v>
      </c>
      <c r="P475">
        <v>87.64</v>
      </c>
    </row>
    <row r="476" spans="1:16" x14ac:dyDescent="0.35">
      <c r="A476" t="s">
        <v>783</v>
      </c>
      <c r="B476" s="1">
        <v>45107</v>
      </c>
      <c r="C476" s="1">
        <v>45109</v>
      </c>
      <c r="D476" t="s">
        <v>44</v>
      </c>
      <c r="E476" t="s">
        <v>784</v>
      </c>
      <c r="F476" t="s">
        <v>19</v>
      </c>
      <c r="G476" t="s">
        <v>181</v>
      </c>
      <c r="H476" t="s">
        <v>83</v>
      </c>
      <c r="I476" t="s">
        <v>52</v>
      </c>
      <c r="J476" t="s">
        <v>68</v>
      </c>
      <c r="K476" t="s">
        <v>69</v>
      </c>
      <c r="L476">
        <v>6</v>
      </c>
      <c r="M476">
        <v>557.04999999999995</v>
      </c>
      <c r="N476">
        <v>0.3</v>
      </c>
      <c r="O476">
        <v>3342.3</v>
      </c>
      <c r="P476">
        <v>255.93</v>
      </c>
    </row>
    <row r="477" spans="1:16" x14ac:dyDescent="0.35">
      <c r="A477" t="s">
        <v>785</v>
      </c>
      <c r="B477" s="1">
        <v>45298</v>
      </c>
      <c r="C477" s="1">
        <v>45302</v>
      </c>
      <c r="D477" t="s">
        <v>65</v>
      </c>
      <c r="E477" t="s">
        <v>786</v>
      </c>
      <c r="F477" t="s">
        <v>19</v>
      </c>
      <c r="G477" t="s">
        <v>51</v>
      </c>
      <c r="H477" t="s">
        <v>21</v>
      </c>
      <c r="I477" t="s">
        <v>22</v>
      </c>
      <c r="J477" t="s">
        <v>74</v>
      </c>
      <c r="K477" t="s">
        <v>253</v>
      </c>
      <c r="L477">
        <v>5</v>
      </c>
      <c r="M477">
        <v>499.69</v>
      </c>
      <c r="N477">
        <v>0</v>
      </c>
      <c r="O477">
        <v>2498.4499999999998</v>
      </c>
      <c r="P477">
        <v>423.42</v>
      </c>
    </row>
    <row r="478" spans="1:16" x14ac:dyDescent="0.35">
      <c r="A478" t="s">
        <v>787</v>
      </c>
      <c r="B478" s="1">
        <v>45149</v>
      </c>
      <c r="C478" s="1">
        <v>45154</v>
      </c>
      <c r="D478" t="s">
        <v>17</v>
      </c>
      <c r="E478" t="s">
        <v>453</v>
      </c>
      <c r="F478" t="s">
        <v>35</v>
      </c>
      <c r="G478" t="s">
        <v>132</v>
      </c>
      <c r="H478" t="s">
        <v>129</v>
      </c>
      <c r="I478" t="s">
        <v>52</v>
      </c>
      <c r="J478" t="s">
        <v>160</v>
      </c>
      <c r="K478" t="s">
        <v>161</v>
      </c>
      <c r="L478">
        <v>4</v>
      </c>
      <c r="M478">
        <v>794.54</v>
      </c>
      <c r="N478">
        <v>0</v>
      </c>
      <c r="O478">
        <v>3178.16</v>
      </c>
      <c r="P478">
        <v>508.13</v>
      </c>
    </row>
    <row r="479" spans="1:16" x14ac:dyDescent="0.35">
      <c r="A479" t="s">
        <v>788</v>
      </c>
      <c r="B479" s="1">
        <v>45506</v>
      </c>
      <c r="C479" s="1">
        <v>45507</v>
      </c>
      <c r="D479" t="s">
        <v>65</v>
      </c>
      <c r="E479" t="s">
        <v>98</v>
      </c>
      <c r="F479" t="s">
        <v>35</v>
      </c>
      <c r="G479" t="s">
        <v>187</v>
      </c>
      <c r="H479" t="s">
        <v>29</v>
      </c>
      <c r="I479" t="s">
        <v>22</v>
      </c>
      <c r="J479" t="s">
        <v>74</v>
      </c>
      <c r="K479" t="s">
        <v>165</v>
      </c>
      <c r="L479">
        <v>7</v>
      </c>
      <c r="M479">
        <v>508.44</v>
      </c>
      <c r="N479">
        <v>0.1</v>
      </c>
      <c r="O479">
        <v>3559.08</v>
      </c>
      <c r="P479">
        <v>179.46</v>
      </c>
    </row>
    <row r="480" spans="1:16" x14ac:dyDescent="0.35">
      <c r="A480" t="s">
        <v>789</v>
      </c>
      <c r="B480" s="1">
        <v>45184</v>
      </c>
      <c r="C480" s="1">
        <v>45186</v>
      </c>
      <c r="D480" t="s">
        <v>65</v>
      </c>
      <c r="E480" t="s">
        <v>131</v>
      </c>
      <c r="F480" t="s">
        <v>27</v>
      </c>
      <c r="G480" t="s">
        <v>288</v>
      </c>
      <c r="H480" t="s">
        <v>129</v>
      </c>
      <c r="I480" t="s">
        <v>30</v>
      </c>
      <c r="J480" t="s">
        <v>99</v>
      </c>
      <c r="K480" t="s">
        <v>208</v>
      </c>
      <c r="L480">
        <v>6</v>
      </c>
      <c r="M480">
        <v>758.24</v>
      </c>
      <c r="N480">
        <v>0.1</v>
      </c>
      <c r="O480">
        <v>4549.4399999999996</v>
      </c>
      <c r="P480">
        <v>1146.6300000000001</v>
      </c>
    </row>
    <row r="481" spans="1:16" x14ac:dyDescent="0.35">
      <c r="A481" t="s">
        <v>790</v>
      </c>
      <c r="B481" s="1">
        <v>45216</v>
      </c>
      <c r="C481" s="1">
        <v>45219</v>
      </c>
      <c r="D481" t="s">
        <v>59</v>
      </c>
      <c r="E481" t="s">
        <v>210</v>
      </c>
      <c r="F481" t="s">
        <v>35</v>
      </c>
      <c r="G481" t="s">
        <v>90</v>
      </c>
      <c r="H481" t="s">
        <v>62</v>
      </c>
      <c r="I481" t="s">
        <v>52</v>
      </c>
      <c r="J481" t="s">
        <v>194</v>
      </c>
      <c r="K481" t="s">
        <v>306</v>
      </c>
      <c r="L481">
        <v>9</v>
      </c>
      <c r="M481">
        <v>768.47</v>
      </c>
      <c r="N481">
        <v>0.2</v>
      </c>
      <c r="O481">
        <v>6916.23</v>
      </c>
      <c r="P481">
        <v>1164.18</v>
      </c>
    </row>
    <row r="482" spans="1:16" x14ac:dyDescent="0.35">
      <c r="A482" t="s">
        <v>791</v>
      </c>
      <c r="B482" s="1">
        <v>45337</v>
      </c>
      <c r="C482" s="1">
        <v>45340</v>
      </c>
      <c r="D482" t="s">
        <v>17</v>
      </c>
      <c r="E482" t="s">
        <v>143</v>
      </c>
      <c r="F482" t="s">
        <v>27</v>
      </c>
      <c r="G482" t="s">
        <v>288</v>
      </c>
      <c r="H482" t="s">
        <v>112</v>
      </c>
      <c r="I482" t="s">
        <v>22</v>
      </c>
      <c r="J482" t="s">
        <v>23</v>
      </c>
      <c r="K482" t="s">
        <v>178</v>
      </c>
      <c r="L482">
        <v>9</v>
      </c>
      <c r="M482">
        <v>391.84</v>
      </c>
      <c r="O482">
        <v>3526.56</v>
      </c>
      <c r="P482">
        <v>-183.27</v>
      </c>
    </row>
    <row r="483" spans="1:16" x14ac:dyDescent="0.35">
      <c r="A483" t="s">
        <v>792</v>
      </c>
      <c r="B483" s="1">
        <v>45209</v>
      </c>
      <c r="C483" s="1">
        <v>45215</v>
      </c>
      <c r="D483" t="s">
        <v>59</v>
      </c>
      <c r="E483" t="s">
        <v>169</v>
      </c>
      <c r="F483" t="s">
        <v>19</v>
      </c>
      <c r="G483" t="s">
        <v>288</v>
      </c>
      <c r="H483" t="s">
        <v>129</v>
      </c>
      <c r="I483" t="s">
        <v>22</v>
      </c>
      <c r="J483" t="s">
        <v>37</v>
      </c>
      <c r="K483" t="s">
        <v>38</v>
      </c>
      <c r="L483">
        <v>9</v>
      </c>
      <c r="M483">
        <v>437.97</v>
      </c>
      <c r="N483">
        <v>0</v>
      </c>
      <c r="O483">
        <v>3941.73</v>
      </c>
      <c r="P483">
        <v>547.21</v>
      </c>
    </row>
    <row r="484" spans="1:16" x14ac:dyDescent="0.35">
      <c r="A484" t="s">
        <v>793</v>
      </c>
      <c r="B484" s="1">
        <v>45288</v>
      </c>
      <c r="C484" s="1">
        <v>45295</v>
      </c>
      <c r="D484" t="s">
        <v>44</v>
      </c>
      <c r="E484" t="s">
        <v>567</v>
      </c>
      <c r="F484" t="s">
        <v>19</v>
      </c>
      <c r="G484" t="s">
        <v>51</v>
      </c>
      <c r="H484" t="s">
        <v>21</v>
      </c>
      <c r="I484" t="s">
        <v>30</v>
      </c>
      <c r="J484" t="s">
        <v>47</v>
      </c>
      <c r="K484" t="s">
        <v>48</v>
      </c>
      <c r="L484">
        <v>1</v>
      </c>
      <c r="M484">
        <v>568.22</v>
      </c>
      <c r="N484">
        <v>0.15</v>
      </c>
      <c r="O484">
        <v>568.22</v>
      </c>
      <c r="P484">
        <v>-37.200000000000003</v>
      </c>
    </row>
    <row r="485" spans="1:16" x14ac:dyDescent="0.35">
      <c r="A485" t="s">
        <v>794</v>
      </c>
      <c r="B485" s="1">
        <v>45390</v>
      </c>
      <c r="C485" s="1">
        <v>45394</v>
      </c>
      <c r="D485" t="s">
        <v>65</v>
      </c>
      <c r="E485" t="s">
        <v>295</v>
      </c>
      <c r="F485" t="s">
        <v>35</v>
      </c>
      <c r="G485" t="s">
        <v>111</v>
      </c>
      <c r="H485" t="s">
        <v>112</v>
      </c>
      <c r="I485" t="s">
        <v>52</v>
      </c>
      <c r="J485" t="s">
        <v>53</v>
      </c>
      <c r="K485" t="s">
        <v>54</v>
      </c>
      <c r="L485">
        <v>5</v>
      </c>
      <c r="M485">
        <v>10.88</v>
      </c>
      <c r="N485">
        <v>0</v>
      </c>
      <c r="O485">
        <v>54.4</v>
      </c>
      <c r="P485">
        <v>-2.3199999999999998</v>
      </c>
    </row>
    <row r="486" spans="1:16" x14ac:dyDescent="0.35">
      <c r="A486" t="s">
        <v>795</v>
      </c>
      <c r="B486" s="1">
        <v>45587</v>
      </c>
      <c r="C486" s="1">
        <v>45589</v>
      </c>
      <c r="F486" t="s">
        <v>19</v>
      </c>
      <c r="G486" t="s">
        <v>103</v>
      </c>
      <c r="H486" t="s">
        <v>73</v>
      </c>
      <c r="I486" t="s">
        <v>52</v>
      </c>
      <c r="J486" t="s">
        <v>194</v>
      </c>
      <c r="K486" t="s">
        <v>306</v>
      </c>
      <c r="L486">
        <v>8</v>
      </c>
      <c r="M486">
        <v>661.2</v>
      </c>
      <c r="N486">
        <v>0</v>
      </c>
      <c r="O486">
        <v>5289.6</v>
      </c>
      <c r="P486">
        <v>1029.49</v>
      </c>
    </row>
    <row r="487" spans="1:16" x14ac:dyDescent="0.35">
      <c r="A487" t="s">
        <v>796</v>
      </c>
      <c r="B487" s="1">
        <v>45136</v>
      </c>
      <c r="C487" s="1">
        <v>45139</v>
      </c>
      <c r="D487" t="s">
        <v>59</v>
      </c>
      <c r="E487" t="s">
        <v>505</v>
      </c>
      <c r="F487" t="s">
        <v>35</v>
      </c>
      <c r="G487" t="s">
        <v>67</v>
      </c>
      <c r="H487" t="s">
        <v>36</v>
      </c>
      <c r="I487" t="s">
        <v>30</v>
      </c>
      <c r="J487" t="s">
        <v>41</v>
      </c>
      <c r="K487" t="s">
        <v>191</v>
      </c>
      <c r="L487">
        <v>1</v>
      </c>
      <c r="M487">
        <v>158.38</v>
      </c>
      <c r="N487">
        <v>0</v>
      </c>
      <c r="O487">
        <v>158.38</v>
      </c>
      <c r="P487">
        <v>18.45</v>
      </c>
    </row>
    <row r="488" spans="1:16" x14ac:dyDescent="0.35">
      <c r="A488" t="s">
        <v>797</v>
      </c>
      <c r="B488" s="1">
        <v>44931</v>
      </c>
      <c r="C488" s="1">
        <v>44934</v>
      </c>
      <c r="D488" t="s">
        <v>44</v>
      </c>
      <c r="E488" t="s">
        <v>237</v>
      </c>
      <c r="F488" t="s">
        <v>35</v>
      </c>
      <c r="G488" t="s">
        <v>211</v>
      </c>
      <c r="H488" t="s">
        <v>29</v>
      </c>
      <c r="I488" t="s">
        <v>52</v>
      </c>
      <c r="J488" t="s">
        <v>68</v>
      </c>
      <c r="K488" t="s">
        <v>69</v>
      </c>
      <c r="L488">
        <v>8</v>
      </c>
      <c r="M488">
        <v>403.6</v>
      </c>
      <c r="N488">
        <v>0.3</v>
      </c>
      <c r="O488">
        <v>3228.8</v>
      </c>
      <c r="P488">
        <v>8.83</v>
      </c>
    </row>
    <row r="489" spans="1:16" x14ac:dyDescent="0.35">
      <c r="A489" t="s">
        <v>798</v>
      </c>
      <c r="B489" s="1">
        <v>45534</v>
      </c>
      <c r="C489" s="1">
        <v>45540</v>
      </c>
      <c r="D489" t="s">
        <v>44</v>
      </c>
      <c r="E489" t="s">
        <v>176</v>
      </c>
      <c r="F489" t="s">
        <v>35</v>
      </c>
      <c r="G489" t="s">
        <v>61</v>
      </c>
      <c r="H489" t="s">
        <v>62</v>
      </c>
      <c r="I489" t="s">
        <v>52</v>
      </c>
      <c r="J489" t="s">
        <v>53</v>
      </c>
      <c r="K489" t="s">
        <v>54</v>
      </c>
      <c r="L489">
        <v>5</v>
      </c>
      <c r="M489">
        <v>207.97</v>
      </c>
      <c r="N489">
        <v>0</v>
      </c>
      <c r="O489">
        <v>1039.8499999999999</v>
      </c>
      <c r="P489">
        <v>348.73</v>
      </c>
    </row>
    <row r="490" spans="1:16" x14ac:dyDescent="0.35">
      <c r="A490" t="s">
        <v>799</v>
      </c>
      <c r="B490" s="1">
        <v>45155</v>
      </c>
      <c r="C490" s="1">
        <v>45162</v>
      </c>
      <c r="D490" t="s">
        <v>17</v>
      </c>
      <c r="E490" t="s">
        <v>562</v>
      </c>
      <c r="F490" t="s">
        <v>19</v>
      </c>
      <c r="G490" t="s">
        <v>211</v>
      </c>
      <c r="H490" t="s">
        <v>29</v>
      </c>
      <c r="I490" t="s">
        <v>30</v>
      </c>
      <c r="J490" t="s">
        <v>41</v>
      </c>
      <c r="K490" t="s">
        <v>124</v>
      </c>
      <c r="L490">
        <v>7</v>
      </c>
      <c r="M490">
        <v>512.08000000000004</v>
      </c>
      <c r="N490">
        <v>0</v>
      </c>
      <c r="O490">
        <v>3584.56</v>
      </c>
      <c r="P490">
        <v>-392.28</v>
      </c>
    </row>
    <row r="491" spans="1:16" x14ac:dyDescent="0.35">
      <c r="A491" t="s">
        <v>800</v>
      </c>
      <c r="B491" s="1">
        <v>44993</v>
      </c>
      <c r="C491" s="1">
        <v>44997</v>
      </c>
      <c r="D491" t="s">
        <v>17</v>
      </c>
      <c r="E491" t="s">
        <v>478</v>
      </c>
      <c r="F491" t="s">
        <v>19</v>
      </c>
      <c r="G491" t="s">
        <v>90</v>
      </c>
      <c r="H491" t="s">
        <v>73</v>
      </c>
      <c r="I491" t="s">
        <v>22</v>
      </c>
      <c r="J491" t="s">
        <v>74</v>
      </c>
      <c r="K491" t="s">
        <v>75</v>
      </c>
      <c r="L491">
        <v>12</v>
      </c>
      <c r="M491">
        <v>258.91000000000003</v>
      </c>
      <c r="N491">
        <v>0.1</v>
      </c>
      <c r="O491">
        <v>3106.92</v>
      </c>
      <c r="P491">
        <v>857.75</v>
      </c>
    </row>
    <row r="492" spans="1:16" x14ac:dyDescent="0.35">
      <c r="A492" t="s">
        <v>801</v>
      </c>
      <c r="B492" s="1">
        <v>45039</v>
      </c>
      <c r="C492" s="1">
        <v>45045</v>
      </c>
      <c r="D492" t="s">
        <v>17</v>
      </c>
      <c r="E492" t="s">
        <v>221</v>
      </c>
      <c r="F492" t="s">
        <v>19</v>
      </c>
      <c r="G492" t="s">
        <v>332</v>
      </c>
      <c r="H492" t="s">
        <v>46</v>
      </c>
      <c r="I492" t="s">
        <v>52</v>
      </c>
      <c r="J492" t="s">
        <v>68</v>
      </c>
      <c r="K492" t="s">
        <v>69</v>
      </c>
      <c r="L492">
        <v>12</v>
      </c>
      <c r="M492">
        <v>603.5</v>
      </c>
      <c r="N492">
        <v>0</v>
      </c>
      <c r="O492">
        <v>7242</v>
      </c>
      <c r="P492">
        <v>1823.68</v>
      </c>
    </row>
    <row r="493" spans="1:16" x14ac:dyDescent="0.35">
      <c r="A493" t="s">
        <v>802</v>
      </c>
      <c r="B493" s="1">
        <v>45588</v>
      </c>
      <c r="C493" s="1">
        <v>45591</v>
      </c>
      <c r="D493" t="s">
        <v>65</v>
      </c>
      <c r="E493" t="s">
        <v>803</v>
      </c>
      <c r="F493" t="s">
        <v>19</v>
      </c>
      <c r="G493" t="s">
        <v>51</v>
      </c>
      <c r="H493" t="s">
        <v>21</v>
      </c>
      <c r="I493" t="s">
        <v>30</v>
      </c>
      <c r="J493" t="s">
        <v>99</v>
      </c>
      <c r="K493" t="s">
        <v>154</v>
      </c>
      <c r="L493">
        <v>9</v>
      </c>
      <c r="M493">
        <v>819.68</v>
      </c>
      <c r="N493">
        <v>0</v>
      </c>
      <c r="O493">
        <v>7377.12</v>
      </c>
      <c r="P493">
        <v>-551.15</v>
      </c>
    </row>
    <row r="494" spans="1:16" x14ac:dyDescent="0.35">
      <c r="A494" t="s">
        <v>804</v>
      </c>
      <c r="B494" s="1">
        <v>45321</v>
      </c>
      <c r="C494" s="1">
        <v>45327</v>
      </c>
      <c r="D494" t="s">
        <v>17</v>
      </c>
      <c r="E494" t="s">
        <v>805</v>
      </c>
      <c r="F494" t="s">
        <v>27</v>
      </c>
      <c r="H494" t="s">
        <v>129</v>
      </c>
      <c r="I494" t="s">
        <v>22</v>
      </c>
      <c r="J494" t="s">
        <v>115</v>
      </c>
      <c r="K494" t="s">
        <v>116</v>
      </c>
      <c r="L494">
        <v>4</v>
      </c>
      <c r="M494">
        <v>860.05</v>
      </c>
      <c r="N494">
        <v>0.2</v>
      </c>
      <c r="O494">
        <v>3440.2</v>
      </c>
      <c r="P494">
        <v>917.85</v>
      </c>
    </row>
    <row r="495" spans="1:16" x14ac:dyDescent="0.35">
      <c r="A495" t="s">
        <v>806</v>
      </c>
      <c r="B495" s="1">
        <v>45571</v>
      </c>
      <c r="C495" s="1">
        <v>45578</v>
      </c>
      <c r="D495" t="s">
        <v>17</v>
      </c>
      <c r="E495" t="s">
        <v>807</v>
      </c>
      <c r="F495" t="s">
        <v>35</v>
      </c>
      <c r="G495" t="s">
        <v>288</v>
      </c>
      <c r="H495" t="s">
        <v>129</v>
      </c>
      <c r="I495" t="s">
        <v>30</v>
      </c>
      <c r="J495" t="s">
        <v>31</v>
      </c>
      <c r="K495" t="s">
        <v>57</v>
      </c>
      <c r="L495">
        <v>2</v>
      </c>
      <c r="M495">
        <v>448.89</v>
      </c>
      <c r="N495">
        <v>0.1</v>
      </c>
      <c r="O495">
        <v>897.78</v>
      </c>
      <c r="P495">
        <v>-51.61</v>
      </c>
    </row>
    <row r="496" spans="1:16" x14ac:dyDescent="0.35">
      <c r="A496" t="s">
        <v>808</v>
      </c>
      <c r="B496" s="1">
        <v>44958</v>
      </c>
      <c r="C496" s="1">
        <v>44960</v>
      </c>
      <c r="D496" t="s">
        <v>44</v>
      </c>
      <c r="E496" t="s">
        <v>570</v>
      </c>
      <c r="F496" t="s">
        <v>27</v>
      </c>
      <c r="G496" t="s">
        <v>51</v>
      </c>
      <c r="H496" t="s">
        <v>36</v>
      </c>
      <c r="I496" t="s">
        <v>30</v>
      </c>
      <c r="J496" t="s">
        <v>31</v>
      </c>
      <c r="K496" t="s">
        <v>87</v>
      </c>
      <c r="L496">
        <v>6</v>
      </c>
      <c r="M496">
        <v>151.34</v>
      </c>
      <c r="N496">
        <v>0</v>
      </c>
      <c r="O496">
        <v>908.04</v>
      </c>
      <c r="P496">
        <v>203.84</v>
      </c>
    </row>
    <row r="497" spans="1:16" x14ac:dyDescent="0.35">
      <c r="A497" t="s">
        <v>809</v>
      </c>
      <c r="B497" s="1">
        <v>45225</v>
      </c>
      <c r="C497" s="1">
        <v>45229</v>
      </c>
      <c r="D497" t="s">
        <v>59</v>
      </c>
      <c r="E497" t="s">
        <v>383</v>
      </c>
      <c r="F497" t="s">
        <v>27</v>
      </c>
      <c r="G497" t="s">
        <v>107</v>
      </c>
      <c r="H497" t="s">
        <v>46</v>
      </c>
      <c r="I497" t="s">
        <v>22</v>
      </c>
      <c r="J497" t="s">
        <v>115</v>
      </c>
      <c r="K497" t="s">
        <v>133</v>
      </c>
      <c r="L497">
        <v>9</v>
      </c>
      <c r="M497">
        <v>223.93</v>
      </c>
      <c r="N497">
        <v>0</v>
      </c>
      <c r="O497">
        <v>2015.37</v>
      </c>
      <c r="P497">
        <v>698.48</v>
      </c>
    </row>
    <row r="498" spans="1:16" x14ac:dyDescent="0.35">
      <c r="A498" t="s">
        <v>810</v>
      </c>
      <c r="B498" s="1">
        <v>45182</v>
      </c>
      <c r="C498" s="1">
        <v>45189</v>
      </c>
      <c r="D498" t="s">
        <v>59</v>
      </c>
      <c r="E498" t="s">
        <v>492</v>
      </c>
      <c r="F498" t="s">
        <v>35</v>
      </c>
      <c r="G498" t="s">
        <v>332</v>
      </c>
      <c r="H498" t="s">
        <v>83</v>
      </c>
      <c r="I498" t="s">
        <v>30</v>
      </c>
      <c r="J498" t="s">
        <v>41</v>
      </c>
      <c r="K498" t="s">
        <v>42</v>
      </c>
      <c r="L498">
        <v>3</v>
      </c>
      <c r="M498">
        <v>368.74</v>
      </c>
      <c r="N498">
        <v>0.1</v>
      </c>
      <c r="O498">
        <v>1106.22</v>
      </c>
      <c r="P498">
        <v>-47.71</v>
      </c>
    </row>
    <row r="499" spans="1:16" x14ac:dyDescent="0.35">
      <c r="A499" t="s">
        <v>811</v>
      </c>
      <c r="B499" s="1">
        <v>45126</v>
      </c>
      <c r="C499" s="1">
        <v>45130</v>
      </c>
      <c r="D499" t="s">
        <v>44</v>
      </c>
      <c r="E499" t="s">
        <v>567</v>
      </c>
      <c r="F499" t="s">
        <v>27</v>
      </c>
      <c r="G499" t="s">
        <v>72</v>
      </c>
      <c r="H499" t="s">
        <v>62</v>
      </c>
      <c r="I499" t="s">
        <v>30</v>
      </c>
      <c r="J499" t="s">
        <v>31</v>
      </c>
      <c r="K499" t="s">
        <v>87</v>
      </c>
      <c r="L499">
        <v>4</v>
      </c>
      <c r="M499">
        <v>5.51</v>
      </c>
      <c r="N499">
        <v>0</v>
      </c>
      <c r="O499">
        <v>22.04</v>
      </c>
      <c r="P499">
        <v>-1.51</v>
      </c>
    </row>
    <row r="500" spans="1:16" x14ac:dyDescent="0.35">
      <c r="A500" t="s">
        <v>812</v>
      </c>
      <c r="B500" s="1">
        <v>44986</v>
      </c>
      <c r="C500" s="1">
        <v>44991</v>
      </c>
      <c r="D500" t="s">
        <v>44</v>
      </c>
      <c r="E500" t="s">
        <v>26</v>
      </c>
      <c r="F500" t="s">
        <v>19</v>
      </c>
      <c r="G500" t="s">
        <v>132</v>
      </c>
      <c r="H500" t="s">
        <v>112</v>
      </c>
      <c r="I500" t="s">
        <v>52</v>
      </c>
      <c r="J500" t="s">
        <v>194</v>
      </c>
      <c r="K500" t="s">
        <v>306</v>
      </c>
      <c r="L500">
        <v>11</v>
      </c>
      <c r="M500">
        <v>75.77</v>
      </c>
      <c r="N500">
        <v>0.1</v>
      </c>
      <c r="O500">
        <v>833.47</v>
      </c>
      <c r="P500">
        <v>228.01</v>
      </c>
    </row>
    <row r="501" spans="1:16" x14ac:dyDescent="0.35">
      <c r="A501" t="s">
        <v>813</v>
      </c>
      <c r="B501" s="1">
        <v>45195</v>
      </c>
      <c r="C501" s="1">
        <v>45199</v>
      </c>
      <c r="D501" t="s">
        <v>17</v>
      </c>
      <c r="E501" t="s">
        <v>26</v>
      </c>
      <c r="F501" t="s">
        <v>27</v>
      </c>
      <c r="G501" t="s">
        <v>332</v>
      </c>
      <c r="H501" t="s">
        <v>123</v>
      </c>
      <c r="I501" t="s">
        <v>52</v>
      </c>
      <c r="J501" t="s">
        <v>78</v>
      </c>
      <c r="K501" t="s">
        <v>198</v>
      </c>
      <c r="L501">
        <v>7</v>
      </c>
      <c r="M501">
        <v>407.6</v>
      </c>
      <c r="N501">
        <v>0.3</v>
      </c>
      <c r="O501">
        <v>2853.2</v>
      </c>
      <c r="P501">
        <v>808.79</v>
      </c>
    </row>
    <row r="502" spans="1:16" x14ac:dyDescent="0.35">
      <c r="A502" t="s">
        <v>814</v>
      </c>
      <c r="B502" s="1">
        <v>45039</v>
      </c>
      <c r="C502" s="1">
        <v>45040</v>
      </c>
      <c r="D502" t="s">
        <v>65</v>
      </c>
      <c r="E502" t="s">
        <v>295</v>
      </c>
      <c r="F502" t="s">
        <v>27</v>
      </c>
      <c r="G502" t="s">
        <v>45</v>
      </c>
      <c r="H502" t="s">
        <v>83</v>
      </c>
      <c r="I502" t="s">
        <v>52</v>
      </c>
      <c r="J502" t="s">
        <v>194</v>
      </c>
      <c r="K502" t="s">
        <v>195</v>
      </c>
      <c r="L502">
        <v>3</v>
      </c>
      <c r="M502">
        <v>698.85</v>
      </c>
      <c r="N502">
        <v>0</v>
      </c>
      <c r="O502">
        <v>2096.5500000000002</v>
      </c>
      <c r="P502">
        <v>4.82</v>
      </c>
    </row>
    <row r="503" spans="1:16" x14ac:dyDescent="0.35">
      <c r="A503" t="s">
        <v>815</v>
      </c>
      <c r="B503" s="1">
        <v>45635</v>
      </c>
      <c r="C503" s="1">
        <v>45638</v>
      </c>
      <c r="D503" t="s">
        <v>44</v>
      </c>
      <c r="E503" t="s">
        <v>463</v>
      </c>
      <c r="F503" t="s">
        <v>35</v>
      </c>
      <c r="G503" t="s">
        <v>28</v>
      </c>
      <c r="I503" t="s">
        <v>52</v>
      </c>
      <c r="J503" t="s">
        <v>78</v>
      </c>
      <c r="K503" t="s">
        <v>96</v>
      </c>
      <c r="L503">
        <v>4</v>
      </c>
      <c r="M503">
        <v>205.08</v>
      </c>
      <c r="N503">
        <v>0</v>
      </c>
      <c r="O503">
        <v>820.32</v>
      </c>
      <c r="P503">
        <v>-3.7</v>
      </c>
    </row>
    <row r="504" spans="1:16" x14ac:dyDescent="0.35">
      <c r="A504" t="s">
        <v>816</v>
      </c>
      <c r="B504" s="1">
        <v>45517</v>
      </c>
      <c r="C504" s="1">
        <v>45521</v>
      </c>
      <c r="D504" t="s">
        <v>59</v>
      </c>
      <c r="E504" t="s">
        <v>281</v>
      </c>
      <c r="F504" t="s">
        <v>35</v>
      </c>
      <c r="G504" t="s">
        <v>181</v>
      </c>
      <c r="H504" t="s">
        <v>46</v>
      </c>
      <c r="I504" t="s">
        <v>52</v>
      </c>
      <c r="J504" t="s">
        <v>78</v>
      </c>
      <c r="K504" t="s">
        <v>79</v>
      </c>
      <c r="L504">
        <v>12</v>
      </c>
      <c r="M504">
        <v>589.24</v>
      </c>
      <c r="N504">
        <v>0.15</v>
      </c>
      <c r="O504">
        <v>7070.88</v>
      </c>
      <c r="P504">
        <v>2222.5700000000002</v>
      </c>
    </row>
    <row r="505" spans="1:16" x14ac:dyDescent="0.35">
      <c r="A505" t="s">
        <v>817</v>
      </c>
      <c r="B505" s="1">
        <v>45148</v>
      </c>
      <c r="C505" s="1">
        <v>45154</v>
      </c>
      <c r="D505" t="s">
        <v>65</v>
      </c>
      <c r="E505" t="s">
        <v>651</v>
      </c>
      <c r="F505" t="s">
        <v>35</v>
      </c>
      <c r="G505" t="s">
        <v>128</v>
      </c>
      <c r="H505" t="s">
        <v>129</v>
      </c>
      <c r="I505" t="s">
        <v>30</v>
      </c>
      <c r="J505" t="s">
        <v>99</v>
      </c>
      <c r="K505" t="s">
        <v>208</v>
      </c>
      <c r="L505">
        <v>3</v>
      </c>
      <c r="M505">
        <v>275.52999999999997</v>
      </c>
      <c r="N505">
        <v>0.2</v>
      </c>
      <c r="O505">
        <v>826.59</v>
      </c>
      <c r="P505">
        <v>96.77</v>
      </c>
    </row>
    <row r="506" spans="1:16" x14ac:dyDescent="0.35">
      <c r="A506" t="s">
        <v>818</v>
      </c>
      <c r="B506" s="1">
        <v>45247</v>
      </c>
      <c r="C506" s="1">
        <v>45250</v>
      </c>
      <c r="D506" t="s">
        <v>17</v>
      </c>
      <c r="E506" t="s">
        <v>340</v>
      </c>
      <c r="F506" t="s">
        <v>19</v>
      </c>
      <c r="G506" t="s">
        <v>20</v>
      </c>
      <c r="H506" t="s">
        <v>36</v>
      </c>
      <c r="I506" t="s">
        <v>30</v>
      </c>
      <c r="J506" t="s">
        <v>99</v>
      </c>
      <c r="K506" t="s">
        <v>100</v>
      </c>
      <c r="L506">
        <v>1</v>
      </c>
      <c r="M506">
        <v>551.24</v>
      </c>
      <c r="N506">
        <v>0</v>
      </c>
      <c r="O506">
        <v>551.24</v>
      </c>
      <c r="P506">
        <v>38.61</v>
      </c>
    </row>
    <row r="507" spans="1:16" x14ac:dyDescent="0.35">
      <c r="A507" t="s">
        <v>819</v>
      </c>
      <c r="B507" s="1">
        <v>45147</v>
      </c>
      <c r="C507" s="1">
        <v>45154</v>
      </c>
      <c r="D507" t="s">
        <v>44</v>
      </c>
      <c r="E507" t="s">
        <v>373</v>
      </c>
      <c r="F507" t="s">
        <v>27</v>
      </c>
      <c r="G507" t="s">
        <v>51</v>
      </c>
      <c r="H507" t="s">
        <v>21</v>
      </c>
      <c r="I507" t="s">
        <v>52</v>
      </c>
      <c r="J507" t="s">
        <v>68</v>
      </c>
      <c r="K507" t="s">
        <v>216</v>
      </c>
      <c r="L507">
        <v>9</v>
      </c>
      <c r="M507">
        <v>503.95</v>
      </c>
      <c r="N507">
        <v>0.3</v>
      </c>
      <c r="O507">
        <v>4535.55</v>
      </c>
      <c r="P507">
        <v>-95.89</v>
      </c>
    </row>
    <row r="508" spans="1:16" x14ac:dyDescent="0.35">
      <c r="A508" t="s">
        <v>582</v>
      </c>
      <c r="B508" s="1">
        <v>45017</v>
      </c>
      <c r="C508" s="1">
        <v>45020</v>
      </c>
      <c r="D508" t="s">
        <v>59</v>
      </c>
      <c r="E508" t="s">
        <v>386</v>
      </c>
      <c r="F508" t="s">
        <v>19</v>
      </c>
      <c r="G508" t="s">
        <v>51</v>
      </c>
      <c r="H508" t="s">
        <v>21</v>
      </c>
      <c r="I508" t="s">
        <v>52</v>
      </c>
      <c r="J508" t="s">
        <v>53</v>
      </c>
      <c r="K508" t="s">
        <v>54</v>
      </c>
      <c r="L508">
        <v>7</v>
      </c>
      <c r="M508">
        <v>53.51</v>
      </c>
      <c r="N508">
        <v>0.15</v>
      </c>
      <c r="O508">
        <v>374.57</v>
      </c>
      <c r="P508">
        <v>11.57</v>
      </c>
    </row>
    <row r="509" spans="1:16" x14ac:dyDescent="0.35">
      <c r="A509" t="s">
        <v>820</v>
      </c>
      <c r="B509" s="1">
        <v>45487</v>
      </c>
      <c r="C509" s="1">
        <v>45489</v>
      </c>
      <c r="D509" t="s">
        <v>65</v>
      </c>
      <c r="E509" t="s">
        <v>225</v>
      </c>
      <c r="F509" t="s">
        <v>27</v>
      </c>
      <c r="G509" t="s">
        <v>332</v>
      </c>
      <c r="H509" t="s">
        <v>123</v>
      </c>
      <c r="I509" t="s">
        <v>22</v>
      </c>
      <c r="J509" t="s">
        <v>37</v>
      </c>
      <c r="K509" t="s">
        <v>38</v>
      </c>
      <c r="L509">
        <v>6</v>
      </c>
      <c r="M509">
        <v>126.91</v>
      </c>
      <c r="N509">
        <v>0.15</v>
      </c>
      <c r="O509">
        <v>761.46</v>
      </c>
      <c r="P509">
        <v>42.47</v>
      </c>
    </row>
    <row r="510" spans="1:16" x14ac:dyDescent="0.35">
      <c r="A510" t="s">
        <v>821</v>
      </c>
      <c r="B510" s="1">
        <v>45599</v>
      </c>
      <c r="C510" s="1">
        <v>45605</v>
      </c>
      <c r="D510" t="s">
        <v>59</v>
      </c>
      <c r="E510" t="s">
        <v>169</v>
      </c>
      <c r="F510" t="s">
        <v>19</v>
      </c>
      <c r="G510" t="s">
        <v>45</v>
      </c>
      <c r="H510" t="s">
        <v>83</v>
      </c>
      <c r="I510" t="s">
        <v>52</v>
      </c>
      <c r="J510" t="s">
        <v>194</v>
      </c>
      <c r="K510" t="s">
        <v>361</v>
      </c>
      <c r="L510">
        <v>6</v>
      </c>
      <c r="M510">
        <v>733.09</v>
      </c>
      <c r="N510">
        <v>0</v>
      </c>
      <c r="O510">
        <v>4398.54</v>
      </c>
      <c r="P510">
        <v>1166.46</v>
      </c>
    </row>
    <row r="511" spans="1:16" x14ac:dyDescent="0.35">
      <c r="A511" t="s">
        <v>822</v>
      </c>
      <c r="B511" s="1">
        <v>45220</v>
      </c>
      <c r="C511" s="1">
        <v>45224</v>
      </c>
      <c r="D511" t="s">
        <v>17</v>
      </c>
      <c r="E511" t="s">
        <v>784</v>
      </c>
      <c r="F511" t="s">
        <v>27</v>
      </c>
      <c r="G511" t="s">
        <v>103</v>
      </c>
      <c r="H511" t="s">
        <v>62</v>
      </c>
      <c r="I511" t="s">
        <v>52</v>
      </c>
      <c r="J511" t="s">
        <v>68</v>
      </c>
      <c r="K511" t="s">
        <v>69</v>
      </c>
      <c r="L511">
        <v>10</v>
      </c>
      <c r="M511">
        <v>211.94</v>
      </c>
      <c r="N511">
        <v>0</v>
      </c>
      <c r="O511">
        <v>2119.4</v>
      </c>
      <c r="P511">
        <v>263.02999999999997</v>
      </c>
    </row>
    <row r="512" spans="1:16" x14ac:dyDescent="0.35">
      <c r="A512" t="s">
        <v>735</v>
      </c>
      <c r="B512" s="1">
        <v>45427</v>
      </c>
      <c r="C512" s="1">
        <v>45430</v>
      </c>
      <c r="D512" t="s">
        <v>59</v>
      </c>
      <c r="E512" t="s">
        <v>368</v>
      </c>
      <c r="F512" t="s">
        <v>35</v>
      </c>
      <c r="G512" t="s">
        <v>111</v>
      </c>
      <c r="H512" t="s">
        <v>129</v>
      </c>
      <c r="I512" t="s">
        <v>30</v>
      </c>
      <c r="J512" t="s">
        <v>31</v>
      </c>
      <c r="K512" t="s">
        <v>57</v>
      </c>
      <c r="L512">
        <v>1</v>
      </c>
      <c r="M512">
        <v>674.75</v>
      </c>
      <c r="N512">
        <v>0.15</v>
      </c>
      <c r="O512">
        <v>674.75</v>
      </c>
      <c r="P512">
        <v>-3.69</v>
      </c>
    </row>
    <row r="513" spans="1:16" x14ac:dyDescent="0.35">
      <c r="A513" t="s">
        <v>823</v>
      </c>
      <c r="B513" s="1">
        <v>45533</v>
      </c>
      <c r="C513" s="1">
        <v>45535</v>
      </c>
      <c r="D513" t="s">
        <v>65</v>
      </c>
      <c r="E513" t="s">
        <v>737</v>
      </c>
      <c r="F513" t="s">
        <v>35</v>
      </c>
      <c r="G513" t="s">
        <v>28</v>
      </c>
      <c r="H513" t="s">
        <v>159</v>
      </c>
      <c r="I513" t="s">
        <v>30</v>
      </c>
      <c r="J513" t="s">
        <v>99</v>
      </c>
      <c r="K513" t="s">
        <v>208</v>
      </c>
      <c r="L513">
        <v>7</v>
      </c>
      <c r="M513">
        <v>541.41999999999996</v>
      </c>
      <c r="N513">
        <v>0.15</v>
      </c>
      <c r="O513">
        <v>3789.94</v>
      </c>
      <c r="P513">
        <v>639.78</v>
      </c>
    </row>
    <row r="514" spans="1:16" x14ac:dyDescent="0.35">
      <c r="A514" t="s">
        <v>824</v>
      </c>
      <c r="B514" s="1">
        <v>45567</v>
      </c>
      <c r="C514" s="1">
        <v>45571</v>
      </c>
      <c r="D514" t="s">
        <v>65</v>
      </c>
      <c r="E514" t="s">
        <v>122</v>
      </c>
      <c r="F514" t="s">
        <v>19</v>
      </c>
      <c r="G514" t="s">
        <v>103</v>
      </c>
      <c r="H514" t="s">
        <v>73</v>
      </c>
      <c r="I514" t="s">
        <v>30</v>
      </c>
      <c r="J514" t="s">
        <v>41</v>
      </c>
      <c r="K514" t="s">
        <v>105</v>
      </c>
      <c r="L514">
        <v>3</v>
      </c>
      <c r="M514">
        <v>60.49</v>
      </c>
      <c r="N514">
        <v>0.3</v>
      </c>
      <c r="O514">
        <v>181.47</v>
      </c>
      <c r="P514">
        <v>12.88</v>
      </c>
    </row>
    <row r="515" spans="1:16" x14ac:dyDescent="0.35">
      <c r="A515" t="s">
        <v>825</v>
      </c>
      <c r="B515" s="1">
        <v>45487</v>
      </c>
      <c r="C515" s="1">
        <v>45488</v>
      </c>
      <c r="D515" t="s">
        <v>44</v>
      </c>
      <c r="E515" t="s">
        <v>137</v>
      </c>
      <c r="F515" t="s">
        <v>35</v>
      </c>
      <c r="G515" t="s">
        <v>181</v>
      </c>
      <c r="H515" t="s">
        <v>123</v>
      </c>
      <c r="I515" t="s">
        <v>52</v>
      </c>
      <c r="J515" t="s">
        <v>160</v>
      </c>
      <c r="K515" t="s">
        <v>161</v>
      </c>
      <c r="L515">
        <v>6</v>
      </c>
      <c r="M515">
        <v>201.38</v>
      </c>
      <c r="N515">
        <v>0</v>
      </c>
      <c r="O515">
        <v>1208.28</v>
      </c>
      <c r="P515">
        <v>-29.06</v>
      </c>
    </row>
    <row r="516" spans="1:16" x14ac:dyDescent="0.35">
      <c r="A516" t="s">
        <v>826</v>
      </c>
      <c r="B516" s="1">
        <v>45061</v>
      </c>
      <c r="C516" s="1">
        <v>45063</v>
      </c>
      <c r="D516" t="s">
        <v>44</v>
      </c>
      <c r="E516" t="s">
        <v>276</v>
      </c>
      <c r="F516" t="s">
        <v>27</v>
      </c>
      <c r="G516" t="s">
        <v>45</v>
      </c>
      <c r="H516" t="s">
        <v>83</v>
      </c>
      <c r="I516" t="s">
        <v>22</v>
      </c>
      <c r="J516" t="s">
        <v>23</v>
      </c>
      <c r="K516" t="s">
        <v>178</v>
      </c>
      <c r="L516">
        <v>8</v>
      </c>
      <c r="M516">
        <v>504.17</v>
      </c>
      <c r="N516">
        <v>0</v>
      </c>
      <c r="O516">
        <v>4033.36</v>
      </c>
      <c r="P516">
        <v>826.82</v>
      </c>
    </row>
    <row r="517" spans="1:16" x14ac:dyDescent="0.35">
      <c r="A517" t="s">
        <v>827</v>
      </c>
      <c r="B517" s="1">
        <v>45438</v>
      </c>
      <c r="C517" s="1">
        <v>45444</v>
      </c>
      <c r="D517" t="s">
        <v>59</v>
      </c>
      <c r="E517" t="s">
        <v>383</v>
      </c>
      <c r="F517" t="s">
        <v>19</v>
      </c>
      <c r="G517" t="s">
        <v>288</v>
      </c>
      <c r="H517" t="s">
        <v>129</v>
      </c>
      <c r="I517" t="s">
        <v>30</v>
      </c>
      <c r="J517" t="s">
        <v>41</v>
      </c>
      <c r="K517" t="s">
        <v>124</v>
      </c>
      <c r="L517">
        <v>12</v>
      </c>
      <c r="M517">
        <v>115.5</v>
      </c>
      <c r="N517">
        <v>0.3</v>
      </c>
      <c r="O517">
        <v>1386</v>
      </c>
      <c r="P517">
        <v>281.72000000000003</v>
      </c>
    </row>
    <row r="518" spans="1:16" x14ac:dyDescent="0.35">
      <c r="A518" t="s">
        <v>828</v>
      </c>
      <c r="B518" s="1">
        <v>45379</v>
      </c>
      <c r="C518" s="1">
        <v>45382</v>
      </c>
      <c r="D518" t="s">
        <v>65</v>
      </c>
      <c r="E518" t="s">
        <v>131</v>
      </c>
      <c r="F518" t="s">
        <v>35</v>
      </c>
      <c r="G518" t="s">
        <v>332</v>
      </c>
      <c r="H518" t="s">
        <v>123</v>
      </c>
      <c r="I518" t="s">
        <v>30</v>
      </c>
      <c r="J518" t="s">
        <v>41</v>
      </c>
      <c r="K518" t="s">
        <v>124</v>
      </c>
      <c r="L518">
        <v>10</v>
      </c>
      <c r="M518">
        <v>757.58</v>
      </c>
      <c r="N518">
        <v>0.1</v>
      </c>
      <c r="O518">
        <v>7575.8</v>
      </c>
      <c r="P518">
        <v>217.4</v>
      </c>
    </row>
    <row r="519" spans="1:16" x14ac:dyDescent="0.35">
      <c r="A519" t="s">
        <v>829</v>
      </c>
      <c r="B519" s="1">
        <v>44958</v>
      </c>
      <c r="C519" s="1">
        <v>44965</v>
      </c>
      <c r="D519" t="s">
        <v>17</v>
      </c>
      <c r="E519" t="s">
        <v>139</v>
      </c>
      <c r="F519" t="s">
        <v>19</v>
      </c>
      <c r="G519" t="s">
        <v>132</v>
      </c>
      <c r="H519" t="s">
        <v>129</v>
      </c>
      <c r="I519" t="s">
        <v>30</v>
      </c>
      <c r="J519" t="s">
        <v>31</v>
      </c>
      <c r="K519" t="s">
        <v>87</v>
      </c>
      <c r="L519">
        <v>1</v>
      </c>
      <c r="M519">
        <v>335.73</v>
      </c>
      <c r="N519">
        <v>0.15</v>
      </c>
      <c r="O519">
        <v>335.73</v>
      </c>
      <c r="P519">
        <v>99.76</v>
      </c>
    </row>
    <row r="520" spans="1:16" x14ac:dyDescent="0.35">
      <c r="A520" t="s">
        <v>830</v>
      </c>
      <c r="B520" s="1">
        <v>45373</v>
      </c>
      <c r="C520" s="1">
        <v>45376</v>
      </c>
      <c r="D520" t="s">
        <v>65</v>
      </c>
      <c r="E520" t="s">
        <v>360</v>
      </c>
      <c r="F520" t="s">
        <v>19</v>
      </c>
      <c r="G520" t="s">
        <v>67</v>
      </c>
      <c r="H520" t="s">
        <v>36</v>
      </c>
      <c r="I520" t="s">
        <v>22</v>
      </c>
      <c r="J520" t="s">
        <v>115</v>
      </c>
      <c r="K520" t="s">
        <v>116</v>
      </c>
      <c r="L520">
        <v>7</v>
      </c>
      <c r="M520">
        <v>663.42</v>
      </c>
      <c r="N520">
        <v>0</v>
      </c>
      <c r="O520">
        <v>4643.9399999999996</v>
      </c>
      <c r="P520">
        <v>412.67</v>
      </c>
    </row>
    <row r="521" spans="1:16" x14ac:dyDescent="0.35">
      <c r="A521" t="s">
        <v>831</v>
      </c>
      <c r="B521" s="1">
        <v>45009</v>
      </c>
      <c r="C521" s="1">
        <v>45014</v>
      </c>
      <c r="D521" t="s">
        <v>17</v>
      </c>
      <c r="E521" t="s">
        <v>637</v>
      </c>
      <c r="F521" t="s">
        <v>19</v>
      </c>
      <c r="G521" t="s">
        <v>67</v>
      </c>
      <c r="H521" t="s">
        <v>21</v>
      </c>
      <c r="I521" t="s">
        <v>22</v>
      </c>
      <c r="J521" t="s">
        <v>115</v>
      </c>
      <c r="K521" t="s">
        <v>147</v>
      </c>
      <c r="L521">
        <v>6</v>
      </c>
      <c r="M521">
        <v>421.49</v>
      </c>
      <c r="N521">
        <v>0</v>
      </c>
      <c r="O521">
        <v>2528.94</v>
      </c>
      <c r="P521">
        <v>82.91</v>
      </c>
    </row>
    <row r="522" spans="1:16" x14ac:dyDescent="0.35">
      <c r="A522" t="s">
        <v>832</v>
      </c>
      <c r="B522" s="1">
        <v>45577</v>
      </c>
      <c r="C522" s="1">
        <v>45584</v>
      </c>
      <c r="D522" t="s">
        <v>44</v>
      </c>
      <c r="E522" t="s">
        <v>301</v>
      </c>
      <c r="F522" t="s">
        <v>35</v>
      </c>
      <c r="G522" t="s">
        <v>82</v>
      </c>
      <c r="H522" t="s">
        <v>46</v>
      </c>
      <c r="I522" t="s">
        <v>52</v>
      </c>
      <c r="J522" t="s">
        <v>160</v>
      </c>
      <c r="K522" t="s">
        <v>161</v>
      </c>
      <c r="L522">
        <v>12</v>
      </c>
      <c r="M522">
        <v>219.83</v>
      </c>
      <c r="N522">
        <v>0</v>
      </c>
      <c r="O522">
        <v>2637.96</v>
      </c>
      <c r="P522">
        <v>-177.91</v>
      </c>
    </row>
    <row r="523" spans="1:16" x14ac:dyDescent="0.35">
      <c r="A523" t="s">
        <v>833</v>
      </c>
      <c r="B523" s="1">
        <v>45075</v>
      </c>
      <c r="C523" s="1">
        <v>45077</v>
      </c>
      <c r="D523" t="s">
        <v>44</v>
      </c>
      <c r="E523" t="s">
        <v>834</v>
      </c>
      <c r="F523" t="s">
        <v>35</v>
      </c>
      <c r="G523" t="s">
        <v>90</v>
      </c>
      <c r="H523" t="s">
        <v>73</v>
      </c>
      <c r="I523" t="s">
        <v>30</v>
      </c>
      <c r="J523" t="s">
        <v>41</v>
      </c>
      <c r="K523" t="s">
        <v>191</v>
      </c>
      <c r="L523">
        <v>4</v>
      </c>
      <c r="M523">
        <v>532.02</v>
      </c>
      <c r="N523">
        <v>0</v>
      </c>
      <c r="O523">
        <v>2128.08</v>
      </c>
      <c r="P523">
        <v>-133.81</v>
      </c>
    </row>
    <row r="524" spans="1:16" x14ac:dyDescent="0.35">
      <c r="A524" t="s">
        <v>835</v>
      </c>
      <c r="B524" s="1">
        <v>45202</v>
      </c>
      <c r="C524" s="1">
        <v>45203</v>
      </c>
      <c r="D524" t="s">
        <v>17</v>
      </c>
      <c r="E524" t="s">
        <v>486</v>
      </c>
      <c r="F524" t="s">
        <v>27</v>
      </c>
      <c r="G524" t="s">
        <v>132</v>
      </c>
      <c r="H524" t="s">
        <v>112</v>
      </c>
      <c r="I524" t="s">
        <v>30</v>
      </c>
      <c r="J524" t="s">
        <v>47</v>
      </c>
      <c r="K524" t="s">
        <v>48</v>
      </c>
      <c r="L524">
        <v>6</v>
      </c>
      <c r="M524">
        <v>795.8</v>
      </c>
      <c r="N524">
        <v>0.2</v>
      </c>
      <c r="O524">
        <v>4774.8</v>
      </c>
      <c r="P524">
        <v>-242.41</v>
      </c>
    </row>
    <row r="525" spans="1:16" x14ac:dyDescent="0.35">
      <c r="A525" t="s">
        <v>836</v>
      </c>
      <c r="B525" s="1">
        <v>45486</v>
      </c>
      <c r="C525" s="1">
        <v>45493</v>
      </c>
      <c r="D525" t="s">
        <v>44</v>
      </c>
      <c r="E525" t="s">
        <v>570</v>
      </c>
      <c r="F525" t="s">
        <v>19</v>
      </c>
      <c r="G525" t="s">
        <v>211</v>
      </c>
      <c r="H525" t="s">
        <v>159</v>
      </c>
      <c r="I525" t="s">
        <v>52</v>
      </c>
      <c r="J525" t="s">
        <v>160</v>
      </c>
      <c r="K525" t="s">
        <v>234</v>
      </c>
      <c r="L525">
        <v>11</v>
      </c>
      <c r="M525">
        <v>756.42</v>
      </c>
      <c r="N525">
        <v>0</v>
      </c>
      <c r="O525">
        <v>8320.6200000000008</v>
      </c>
      <c r="P525">
        <v>2708.32</v>
      </c>
    </row>
    <row r="526" spans="1:16" x14ac:dyDescent="0.35">
      <c r="A526" t="s">
        <v>837</v>
      </c>
      <c r="B526" s="1">
        <v>45427</v>
      </c>
      <c r="C526" s="1">
        <v>45430</v>
      </c>
      <c r="E526" t="s">
        <v>267</v>
      </c>
      <c r="F526" t="s">
        <v>35</v>
      </c>
      <c r="G526" t="s">
        <v>72</v>
      </c>
      <c r="H526" t="s">
        <v>62</v>
      </c>
      <c r="I526" t="s">
        <v>22</v>
      </c>
      <c r="J526" t="s">
        <v>74</v>
      </c>
      <c r="K526" t="s">
        <v>75</v>
      </c>
      <c r="L526">
        <v>11</v>
      </c>
      <c r="M526">
        <v>589.61</v>
      </c>
      <c r="N526">
        <v>0</v>
      </c>
      <c r="O526">
        <v>6485.71</v>
      </c>
      <c r="P526">
        <v>-935.23</v>
      </c>
    </row>
    <row r="527" spans="1:16" x14ac:dyDescent="0.35">
      <c r="A527" t="s">
        <v>838</v>
      </c>
      <c r="B527" s="1">
        <v>45509</v>
      </c>
      <c r="C527" s="1">
        <v>45512</v>
      </c>
      <c r="D527" t="s">
        <v>17</v>
      </c>
      <c r="E527" t="s">
        <v>839</v>
      </c>
      <c r="F527" t="s">
        <v>19</v>
      </c>
      <c r="G527" t="s">
        <v>111</v>
      </c>
      <c r="H527" t="s">
        <v>129</v>
      </c>
      <c r="I527" t="s">
        <v>52</v>
      </c>
      <c r="J527" t="s">
        <v>194</v>
      </c>
      <c r="K527" t="s">
        <v>306</v>
      </c>
      <c r="L527">
        <v>11</v>
      </c>
      <c r="M527">
        <v>293.41000000000003</v>
      </c>
      <c r="N527">
        <v>0.1</v>
      </c>
      <c r="O527">
        <v>3227.51</v>
      </c>
      <c r="P527">
        <v>229.41</v>
      </c>
    </row>
    <row r="528" spans="1:16" x14ac:dyDescent="0.35">
      <c r="A528" t="s">
        <v>840</v>
      </c>
      <c r="B528" s="1">
        <v>45386</v>
      </c>
      <c r="C528" s="1">
        <v>45388</v>
      </c>
      <c r="D528" t="s">
        <v>65</v>
      </c>
      <c r="E528" t="s">
        <v>408</v>
      </c>
      <c r="F528" t="s">
        <v>27</v>
      </c>
      <c r="G528" t="s">
        <v>211</v>
      </c>
      <c r="H528" t="s">
        <v>159</v>
      </c>
      <c r="I528" t="s">
        <v>30</v>
      </c>
      <c r="J528" t="s">
        <v>41</v>
      </c>
      <c r="K528" t="s">
        <v>105</v>
      </c>
      <c r="L528">
        <v>4</v>
      </c>
      <c r="M528">
        <v>897.56</v>
      </c>
      <c r="N528">
        <v>0.2</v>
      </c>
      <c r="O528">
        <v>3590.24</v>
      </c>
      <c r="P528">
        <v>-273.08</v>
      </c>
    </row>
    <row r="529" spans="1:16" x14ac:dyDescent="0.35">
      <c r="A529" t="s">
        <v>841</v>
      </c>
      <c r="B529" s="1">
        <v>44933</v>
      </c>
      <c r="C529" s="1">
        <v>44938</v>
      </c>
      <c r="D529" t="s">
        <v>17</v>
      </c>
      <c r="E529" t="s">
        <v>207</v>
      </c>
      <c r="F529" t="s">
        <v>35</v>
      </c>
      <c r="G529" t="s">
        <v>128</v>
      </c>
      <c r="H529" t="s">
        <v>129</v>
      </c>
      <c r="I529" t="s">
        <v>52</v>
      </c>
      <c r="J529" t="s">
        <v>160</v>
      </c>
      <c r="K529" t="s">
        <v>234</v>
      </c>
      <c r="L529">
        <v>7</v>
      </c>
      <c r="M529">
        <v>322.31</v>
      </c>
      <c r="N529">
        <v>0</v>
      </c>
      <c r="O529">
        <v>2256.17</v>
      </c>
      <c r="P529">
        <v>147.56</v>
      </c>
    </row>
    <row r="530" spans="1:16" x14ac:dyDescent="0.35">
      <c r="A530" t="s">
        <v>842</v>
      </c>
      <c r="B530" s="1">
        <v>45609</v>
      </c>
      <c r="C530" s="1">
        <v>45615</v>
      </c>
      <c r="D530" t="s">
        <v>65</v>
      </c>
      <c r="E530" t="s">
        <v>523</v>
      </c>
      <c r="F530" t="s">
        <v>35</v>
      </c>
      <c r="G530" t="s">
        <v>28</v>
      </c>
      <c r="H530" t="s">
        <v>159</v>
      </c>
      <c r="I530" t="s">
        <v>22</v>
      </c>
      <c r="J530" t="s">
        <v>23</v>
      </c>
      <c r="K530" t="s">
        <v>289</v>
      </c>
      <c r="L530">
        <v>8</v>
      </c>
      <c r="M530">
        <v>857.95</v>
      </c>
      <c r="N530">
        <v>0.15</v>
      </c>
      <c r="O530">
        <v>6863.6</v>
      </c>
      <c r="P530">
        <v>745.47</v>
      </c>
    </row>
    <row r="531" spans="1:16" x14ac:dyDescent="0.35">
      <c r="A531" t="s">
        <v>843</v>
      </c>
      <c r="B531" s="1">
        <v>45593</v>
      </c>
      <c r="C531" s="1">
        <v>45594</v>
      </c>
      <c r="D531" t="s">
        <v>44</v>
      </c>
      <c r="E531" t="s">
        <v>617</v>
      </c>
      <c r="F531" t="s">
        <v>35</v>
      </c>
      <c r="H531" t="s">
        <v>62</v>
      </c>
      <c r="I531" t="s">
        <v>22</v>
      </c>
      <c r="J531" t="s">
        <v>74</v>
      </c>
      <c r="K531" t="s">
        <v>75</v>
      </c>
      <c r="L531">
        <v>6</v>
      </c>
      <c r="M531">
        <v>351.14</v>
      </c>
      <c r="N531">
        <v>0.3</v>
      </c>
      <c r="O531">
        <v>2106.84</v>
      </c>
      <c r="P531">
        <v>492.96</v>
      </c>
    </row>
    <row r="532" spans="1:16" x14ac:dyDescent="0.35">
      <c r="A532" t="s">
        <v>844</v>
      </c>
      <c r="B532" s="1">
        <v>45099</v>
      </c>
      <c r="C532" s="1">
        <v>45105</v>
      </c>
      <c r="D532" t="s">
        <v>17</v>
      </c>
      <c r="E532" t="s">
        <v>845</v>
      </c>
      <c r="F532" t="s">
        <v>35</v>
      </c>
      <c r="G532" t="s">
        <v>67</v>
      </c>
      <c r="H532" t="s">
        <v>21</v>
      </c>
      <c r="I532" t="s">
        <v>52</v>
      </c>
      <c r="J532" t="s">
        <v>194</v>
      </c>
      <c r="K532" t="s">
        <v>195</v>
      </c>
      <c r="L532">
        <v>2</v>
      </c>
      <c r="M532">
        <v>712.99</v>
      </c>
      <c r="N532">
        <v>0.2</v>
      </c>
      <c r="O532">
        <v>1425.98</v>
      </c>
      <c r="P532">
        <v>222.77</v>
      </c>
    </row>
    <row r="533" spans="1:16" x14ac:dyDescent="0.35">
      <c r="A533" t="s">
        <v>846</v>
      </c>
      <c r="B533" s="1">
        <v>45373</v>
      </c>
      <c r="C533" s="1">
        <v>45380</v>
      </c>
      <c r="D533" t="s">
        <v>44</v>
      </c>
      <c r="E533" t="s">
        <v>847</v>
      </c>
      <c r="F533" t="s">
        <v>27</v>
      </c>
      <c r="G533" t="s">
        <v>90</v>
      </c>
      <c r="H533" t="s">
        <v>62</v>
      </c>
      <c r="I533" t="s">
        <v>30</v>
      </c>
      <c r="J533" t="s">
        <v>41</v>
      </c>
      <c r="K533" t="s">
        <v>124</v>
      </c>
      <c r="L533">
        <v>8</v>
      </c>
      <c r="M533">
        <v>515.02</v>
      </c>
      <c r="N533">
        <v>0.2</v>
      </c>
      <c r="O533">
        <v>4120.16</v>
      </c>
      <c r="P533">
        <v>162.72</v>
      </c>
    </row>
    <row r="534" spans="1:16" x14ac:dyDescent="0.35">
      <c r="A534" t="s">
        <v>848</v>
      </c>
      <c r="B534" s="1">
        <v>45405</v>
      </c>
      <c r="C534" s="1">
        <v>45409</v>
      </c>
      <c r="D534" t="s">
        <v>59</v>
      </c>
      <c r="E534" t="s">
        <v>241</v>
      </c>
      <c r="F534" t="s">
        <v>35</v>
      </c>
      <c r="G534" t="s">
        <v>103</v>
      </c>
      <c r="H534" t="s">
        <v>73</v>
      </c>
      <c r="I534" t="s">
        <v>22</v>
      </c>
      <c r="J534" t="s">
        <v>37</v>
      </c>
      <c r="K534" t="s">
        <v>38</v>
      </c>
      <c r="L534">
        <v>4</v>
      </c>
      <c r="M534">
        <v>336.93</v>
      </c>
      <c r="N534">
        <v>0</v>
      </c>
      <c r="O534">
        <v>1347.72</v>
      </c>
      <c r="P534">
        <v>-29.34</v>
      </c>
    </row>
    <row r="535" spans="1:16" x14ac:dyDescent="0.35">
      <c r="A535" t="s">
        <v>849</v>
      </c>
      <c r="B535" s="1">
        <v>45028</v>
      </c>
      <c r="C535" s="1">
        <v>45029</v>
      </c>
      <c r="D535" t="s">
        <v>17</v>
      </c>
      <c r="E535" t="s">
        <v>255</v>
      </c>
      <c r="F535" t="s">
        <v>27</v>
      </c>
      <c r="G535" t="s">
        <v>86</v>
      </c>
      <c r="H535" t="s">
        <v>29</v>
      </c>
      <c r="I535" t="s">
        <v>30</v>
      </c>
      <c r="J535" t="s">
        <v>47</v>
      </c>
      <c r="K535" t="s">
        <v>48</v>
      </c>
      <c r="L535">
        <v>10</v>
      </c>
      <c r="M535">
        <v>794.41</v>
      </c>
      <c r="N535">
        <v>0.1</v>
      </c>
      <c r="O535">
        <v>7944.1</v>
      </c>
    </row>
    <row r="536" spans="1:16" x14ac:dyDescent="0.35">
      <c r="A536" t="s">
        <v>850</v>
      </c>
      <c r="B536" s="1">
        <v>45399</v>
      </c>
      <c r="C536" s="1">
        <v>45406</v>
      </c>
      <c r="D536" t="s">
        <v>44</v>
      </c>
      <c r="E536" t="s">
        <v>637</v>
      </c>
      <c r="F536" t="s">
        <v>27</v>
      </c>
      <c r="G536" t="s">
        <v>86</v>
      </c>
      <c r="H536" t="s">
        <v>29</v>
      </c>
      <c r="I536" t="s">
        <v>22</v>
      </c>
      <c r="J536" t="s">
        <v>23</v>
      </c>
      <c r="K536" t="s">
        <v>289</v>
      </c>
      <c r="L536">
        <v>12</v>
      </c>
      <c r="M536">
        <v>718.1</v>
      </c>
      <c r="N536">
        <v>0</v>
      </c>
      <c r="O536">
        <v>8617.2000000000007</v>
      </c>
      <c r="P536">
        <v>1103.6500000000001</v>
      </c>
    </row>
    <row r="537" spans="1:16" x14ac:dyDescent="0.35">
      <c r="A537" t="s">
        <v>88</v>
      </c>
      <c r="B537" s="1">
        <v>45012</v>
      </c>
      <c r="C537" s="1">
        <v>45018</v>
      </c>
      <c r="D537" t="s">
        <v>65</v>
      </c>
      <c r="E537" t="s">
        <v>89</v>
      </c>
      <c r="F537" t="s">
        <v>35</v>
      </c>
      <c r="G537" t="s">
        <v>90</v>
      </c>
      <c r="H537" t="s">
        <v>73</v>
      </c>
      <c r="I537" t="s">
        <v>52</v>
      </c>
      <c r="J537" t="s">
        <v>53</v>
      </c>
      <c r="K537" t="s">
        <v>91</v>
      </c>
      <c r="L537">
        <v>11</v>
      </c>
      <c r="M537">
        <v>735.25</v>
      </c>
      <c r="N537">
        <v>0.3</v>
      </c>
      <c r="O537">
        <v>8087.75</v>
      </c>
      <c r="P537">
        <v>224.37</v>
      </c>
    </row>
    <row r="538" spans="1:16" x14ac:dyDescent="0.35">
      <c r="A538" t="s">
        <v>851</v>
      </c>
      <c r="B538" s="1">
        <v>45516</v>
      </c>
      <c r="C538" s="1">
        <v>45521</v>
      </c>
      <c r="D538" t="s">
        <v>59</v>
      </c>
      <c r="E538" t="s">
        <v>437</v>
      </c>
      <c r="F538" t="s">
        <v>27</v>
      </c>
      <c r="G538" t="s">
        <v>107</v>
      </c>
      <c r="H538" t="s">
        <v>46</v>
      </c>
      <c r="I538" t="s">
        <v>52</v>
      </c>
      <c r="J538" t="s">
        <v>78</v>
      </c>
      <c r="K538" t="s">
        <v>198</v>
      </c>
      <c r="L538">
        <v>2</v>
      </c>
      <c r="M538">
        <v>430.89</v>
      </c>
      <c r="N538">
        <v>0.2</v>
      </c>
      <c r="O538">
        <v>861.78</v>
      </c>
      <c r="P538">
        <v>-108.02</v>
      </c>
    </row>
    <row r="539" spans="1:16" x14ac:dyDescent="0.35">
      <c r="A539" t="s">
        <v>852</v>
      </c>
      <c r="B539" s="1">
        <v>45648</v>
      </c>
      <c r="C539" s="1">
        <v>45655</v>
      </c>
      <c r="D539" t="s">
        <v>44</v>
      </c>
      <c r="E539" t="s">
        <v>395</v>
      </c>
      <c r="F539" t="s">
        <v>35</v>
      </c>
      <c r="G539" t="s">
        <v>72</v>
      </c>
      <c r="H539" t="s">
        <v>62</v>
      </c>
      <c r="I539" t="s">
        <v>22</v>
      </c>
      <c r="J539" t="s">
        <v>74</v>
      </c>
      <c r="K539" t="s">
        <v>75</v>
      </c>
      <c r="L539">
        <v>6</v>
      </c>
      <c r="M539">
        <v>599.02</v>
      </c>
      <c r="N539">
        <v>0.2</v>
      </c>
      <c r="O539">
        <v>3594.12</v>
      </c>
      <c r="P539">
        <v>152.53</v>
      </c>
    </row>
    <row r="540" spans="1:16" x14ac:dyDescent="0.35">
      <c r="A540" t="s">
        <v>853</v>
      </c>
      <c r="B540" s="1">
        <v>45210</v>
      </c>
      <c r="C540" s="1">
        <v>45214</v>
      </c>
      <c r="D540" t="s">
        <v>44</v>
      </c>
      <c r="E540" t="s">
        <v>77</v>
      </c>
      <c r="F540" t="s">
        <v>27</v>
      </c>
      <c r="G540" t="s">
        <v>45</v>
      </c>
      <c r="H540" t="s">
        <v>83</v>
      </c>
      <c r="I540" t="s">
        <v>52</v>
      </c>
      <c r="J540" t="s">
        <v>53</v>
      </c>
      <c r="K540" t="s">
        <v>91</v>
      </c>
      <c r="L540">
        <v>5</v>
      </c>
      <c r="M540">
        <v>567.05999999999995</v>
      </c>
      <c r="N540">
        <v>0.1</v>
      </c>
      <c r="O540">
        <v>2835.3</v>
      </c>
      <c r="P540">
        <v>955.86</v>
      </c>
    </row>
    <row r="541" spans="1:16" x14ac:dyDescent="0.35">
      <c r="A541" t="s">
        <v>854</v>
      </c>
      <c r="B541" s="1">
        <v>45026</v>
      </c>
      <c r="C541" s="1">
        <v>45033</v>
      </c>
      <c r="D541" t="s">
        <v>65</v>
      </c>
      <c r="E541" t="s">
        <v>708</v>
      </c>
      <c r="F541" t="s">
        <v>35</v>
      </c>
      <c r="G541" t="s">
        <v>51</v>
      </c>
      <c r="H541" t="s">
        <v>21</v>
      </c>
      <c r="I541" t="s">
        <v>30</v>
      </c>
      <c r="J541" t="s">
        <v>99</v>
      </c>
      <c r="K541" t="s">
        <v>100</v>
      </c>
      <c r="L541">
        <v>2</v>
      </c>
      <c r="M541">
        <v>701.91</v>
      </c>
      <c r="N541">
        <v>0.3</v>
      </c>
      <c r="O541">
        <v>1403.82</v>
      </c>
      <c r="P541">
        <v>321.79000000000002</v>
      </c>
    </row>
    <row r="542" spans="1:16" x14ac:dyDescent="0.35">
      <c r="A542" t="s">
        <v>855</v>
      </c>
      <c r="B542" s="1">
        <v>45263</v>
      </c>
      <c r="C542" s="1">
        <v>45265</v>
      </c>
      <c r="D542" t="s">
        <v>65</v>
      </c>
      <c r="E542" t="s">
        <v>395</v>
      </c>
      <c r="F542" t="s">
        <v>19</v>
      </c>
      <c r="G542" t="s">
        <v>20</v>
      </c>
      <c r="H542" t="s">
        <v>36</v>
      </c>
      <c r="I542" t="s">
        <v>52</v>
      </c>
      <c r="J542" t="s">
        <v>160</v>
      </c>
      <c r="K542" t="s">
        <v>161</v>
      </c>
      <c r="L542">
        <v>12</v>
      </c>
      <c r="M542">
        <v>862.06</v>
      </c>
      <c r="N542">
        <v>0.1</v>
      </c>
      <c r="O542">
        <v>10344.719999999999</v>
      </c>
      <c r="P542">
        <v>320.07</v>
      </c>
    </row>
    <row r="543" spans="1:16" x14ac:dyDescent="0.35">
      <c r="A543" t="s">
        <v>411</v>
      </c>
      <c r="B543" s="1">
        <v>45395</v>
      </c>
      <c r="C543" s="1">
        <v>45402</v>
      </c>
      <c r="D543" t="s">
        <v>17</v>
      </c>
      <c r="E543" t="s">
        <v>261</v>
      </c>
      <c r="F543" t="s">
        <v>27</v>
      </c>
      <c r="G543" t="s">
        <v>86</v>
      </c>
      <c r="H543" t="s">
        <v>159</v>
      </c>
      <c r="I543" t="s">
        <v>52</v>
      </c>
      <c r="J543" t="s">
        <v>160</v>
      </c>
      <c r="K543" t="s">
        <v>161</v>
      </c>
      <c r="L543">
        <v>8</v>
      </c>
      <c r="M543">
        <v>414.36</v>
      </c>
      <c r="N543">
        <v>0.15</v>
      </c>
      <c r="O543">
        <v>3314.88</v>
      </c>
      <c r="P543">
        <v>1087.5999999999999</v>
      </c>
    </row>
    <row r="544" spans="1:16" x14ac:dyDescent="0.35">
      <c r="A544" t="s">
        <v>856</v>
      </c>
      <c r="B544" s="1">
        <v>45182</v>
      </c>
      <c r="C544" s="1">
        <v>45187</v>
      </c>
      <c r="D544" t="s">
        <v>17</v>
      </c>
      <c r="E544" t="s">
        <v>637</v>
      </c>
      <c r="F544" t="s">
        <v>19</v>
      </c>
      <c r="G544" t="s">
        <v>332</v>
      </c>
      <c r="H544" t="s">
        <v>46</v>
      </c>
      <c r="I544" t="s">
        <v>22</v>
      </c>
      <c r="J544" t="s">
        <v>37</v>
      </c>
      <c r="K544" t="s">
        <v>38</v>
      </c>
      <c r="L544">
        <v>10</v>
      </c>
      <c r="M544">
        <v>176.09</v>
      </c>
      <c r="N544">
        <v>0</v>
      </c>
      <c r="O544">
        <v>1760.9</v>
      </c>
      <c r="P544">
        <v>344.52</v>
      </c>
    </row>
    <row r="545" spans="1:16" x14ac:dyDescent="0.35">
      <c r="A545" t="s">
        <v>284</v>
      </c>
      <c r="B545" s="1">
        <v>45304</v>
      </c>
      <c r="C545" s="1">
        <v>45306</v>
      </c>
      <c r="D545" t="s">
        <v>17</v>
      </c>
      <c r="E545" t="s">
        <v>285</v>
      </c>
      <c r="F545" t="s">
        <v>19</v>
      </c>
      <c r="G545" t="s">
        <v>51</v>
      </c>
      <c r="H545" t="s">
        <v>21</v>
      </c>
      <c r="I545" t="s">
        <v>52</v>
      </c>
      <c r="J545" t="s">
        <v>78</v>
      </c>
      <c r="K545" t="s">
        <v>79</v>
      </c>
      <c r="L545">
        <v>7</v>
      </c>
      <c r="M545">
        <v>150.27000000000001</v>
      </c>
      <c r="N545">
        <v>0.2</v>
      </c>
      <c r="O545">
        <v>1051.8900000000001</v>
      </c>
      <c r="P545">
        <v>338.15</v>
      </c>
    </row>
    <row r="546" spans="1:16" x14ac:dyDescent="0.35">
      <c r="A546" t="s">
        <v>857</v>
      </c>
      <c r="B546" s="1">
        <v>45089</v>
      </c>
      <c r="C546" s="1">
        <v>45092</v>
      </c>
      <c r="D546" t="s">
        <v>17</v>
      </c>
      <c r="E546" t="s">
        <v>450</v>
      </c>
      <c r="F546" t="s">
        <v>27</v>
      </c>
      <c r="G546" t="s">
        <v>67</v>
      </c>
      <c r="H546" t="s">
        <v>36</v>
      </c>
      <c r="I546" t="s">
        <v>22</v>
      </c>
      <c r="J546" t="s">
        <v>74</v>
      </c>
      <c r="K546" t="s">
        <v>253</v>
      </c>
      <c r="L546">
        <v>5</v>
      </c>
      <c r="M546">
        <v>310.27999999999997</v>
      </c>
      <c r="N546">
        <v>0</v>
      </c>
      <c r="O546">
        <v>1551.4</v>
      </c>
      <c r="P546">
        <v>393.38</v>
      </c>
    </row>
    <row r="547" spans="1:16" x14ac:dyDescent="0.35">
      <c r="A547" t="s">
        <v>858</v>
      </c>
      <c r="B547" s="1">
        <v>45402</v>
      </c>
      <c r="C547" s="1">
        <v>45406</v>
      </c>
      <c r="D547" t="s">
        <v>59</v>
      </c>
      <c r="E547" t="s">
        <v>102</v>
      </c>
      <c r="F547" t="s">
        <v>35</v>
      </c>
      <c r="G547" t="s">
        <v>111</v>
      </c>
      <c r="H547" t="s">
        <v>129</v>
      </c>
      <c r="I547" t="s">
        <v>30</v>
      </c>
      <c r="J547" t="s">
        <v>47</v>
      </c>
      <c r="K547" t="s">
        <v>63</v>
      </c>
      <c r="L547">
        <v>7</v>
      </c>
      <c r="M547">
        <v>607.6</v>
      </c>
      <c r="N547">
        <v>0</v>
      </c>
      <c r="O547">
        <v>4253.2</v>
      </c>
    </row>
    <row r="548" spans="1:16" x14ac:dyDescent="0.35">
      <c r="A548" t="s">
        <v>859</v>
      </c>
      <c r="B548" s="1">
        <v>45373</v>
      </c>
      <c r="C548" s="1">
        <v>45375</v>
      </c>
      <c r="D548" t="s">
        <v>17</v>
      </c>
      <c r="E548" t="s">
        <v>847</v>
      </c>
      <c r="F548" t="s">
        <v>35</v>
      </c>
      <c r="G548" t="s">
        <v>187</v>
      </c>
      <c r="H548" t="s">
        <v>159</v>
      </c>
      <c r="I548" t="s">
        <v>52</v>
      </c>
      <c r="J548" t="s">
        <v>68</v>
      </c>
      <c r="K548" t="s">
        <v>69</v>
      </c>
      <c r="L548">
        <v>11</v>
      </c>
      <c r="M548">
        <v>325.94</v>
      </c>
      <c r="N548">
        <v>0</v>
      </c>
      <c r="O548">
        <v>3585.34</v>
      </c>
      <c r="P548">
        <v>-175.3</v>
      </c>
    </row>
    <row r="549" spans="1:16" x14ac:dyDescent="0.35">
      <c r="A549" t="s">
        <v>860</v>
      </c>
      <c r="B549" s="1">
        <v>45588</v>
      </c>
      <c r="C549" s="1">
        <v>45593</v>
      </c>
      <c r="D549" t="s">
        <v>59</v>
      </c>
      <c r="E549" t="s">
        <v>301</v>
      </c>
      <c r="F549" t="s">
        <v>19</v>
      </c>
      <c r="G549" t="s">
        <v>82</v>
      </c>
      <c r="H549" t="s">
        <v>123</v>
      </c>
      <c r="I549" t="s">
        <v>22</v>
      </c>
      <c r="J549" t="s">
        <v>23</v>
      </c>
      <c r="K549" t="s">
        <v>24</v>
      </c>
      <c r="L549">
        <v>1</v>
      </c>
      <c r="M549">
        <v>765.38</v>
      </c>
      <c r="N549">
        <v>0.2</v>
      </c>
      <c r="O549">
        <v>765.38</v>
      </c>
      <c r="P549">
        <v>-102.87</v>
      </c>
    </row>
    <row r="550" spans="1:16" x14ac:dyDescent="0.35">
      <c r="A550" t="s">
        <v>861</v>
      </c>
      <c r="B550" s="1">
        <v>45507</v>
      </c>
      <c r="C550" s="1">
        <v>45512</v>
      </c>
      <c r="D550" t="s">
        <v>65</v>
      </c>
      <c r="E550" t="s">
        <v>758</v>
      </c>
      <c r="F550" t="s">
        <v>35</v>
      </c>
      <c r="G550" t="s">
        <v>211</v>
      </c>
      <c r="H550" t="s">
        <v>159</v>
      </c>
      <c r="I550" t="s">
        <v>22</v>
      </c>
      <c r="J550" t="s">
        <v>74</v>
      </c>
      <c r="K550" t="s">
        <v>75</v>
      </c>
      <c r="L550">
        <v>3</v>
      </c>
      <c r="M550">
        <v>454.58</v>
      </c>
      <c r="N550">
        <v>0.15</v>
      </c>
      <c r="O550">
        <v>1363.74</v>
      </c>
      <c r="P550">
        <v>115.07</v>
      </c>
    </row>
    <row r="551" spans="1:16" x14ac:dyDescent="0.35">
      <c r="A551" t="s">
        <v>862</v>
      </c>
      <c r="B551" s="1">
        <v>45135</v>
      </c>
      <c r="C551" s="1">
        <v>45138</v>
      </c>
      <c r="D551" t="s">
        <v>59</v>
      </c>
      <c r="E551" t="s">
        <v>283</v>
      </c>
      <c r="F551" t="s">
        <v>19</v>
      </c>
      <c r="G551" t="s">
        <v>90</v>
      </c>
      <c r="H551" t="s">
        <v>62</v>
      </c>
      <c r="I551" t="s">
        <v>30</v>
      </c>
      <c r="J551" t="s">
        <v>31</v>
      </c>
      <c r="K551" t="s">
        <v>57</v>
      </c>
      <c r="L551">
        <v>6</v>
      </c>
      <c r="M551">
        <v>548.24</v>
      </c>
      <c r="N551">
        <v>0</v>
      </c>
      <c r="O551" t="s">
        <v>219</v>
      </c>
      <c r="P551">
        <v>57.54</v>
      </c>
    </row>
    <row r="552" spans="1:16" x14ac:dyDescent="0.35">
      <c r="A552" t="s">
        <v>863</v>
      </c>
      <c r="B552" s="1">
        <v>45456</v>
      </c>
      <c r="C552" s="1">
        <v>45463</v>
      </c>
      <c r="D552" t="s">
        <v>59</v>
      </c>
      <c r="E552" t="s">
        <v>71</v>
      </c>
      <c r="F552" t="s">
        <v>35</v>
      </c>
      <c r="G552" t="s">
        <v>332</v>
      </c>
      <c r="H552" t="s">
        <v>123</v>
      </c>
      <c r="I552" t="s">
        <v>52</v>
      </c>
      <c r="J552" t="s">
        <v>160</v>
      </c>
      <c r="K552" t="s">
        <v>161</v>
      </c>
      <c r="L552">
        <v>3</v>
      </c>
      <c r="M552">
        <v>290.52999999999997</v>
      </c>
      <c r="N552">
        <v>0.15</v>
      </c>
      <c r="O552">
        <v>871.59</v>
      </c>
      <c r="P552">
        <v>90.2</v>
      </c>
    </row>
    <row r="553" spans="1:16" x14ac:dyDescent="0.35">
      <c r="A553" t="s">
        <v>864</v>
      </c>
      <c r="B553" s="1">
        <v>45630</v>
      </c>
      <c r="C553" s="1">
        <v>45634</v>
      </c>
      <c r="D553" t="s">
        <v>44</v>
      </c>
      <c r="E553" t="s">
        <v>865</v>
      </c>
      <c r="F553" t="s">
        <v>27</v>
      </c>
      <c r="G553" t="s">
        <v>128</v>
      </c>
      <c r="H553" t="s">
        <v>129</v>
      </c>
      <c r="I553" t="s">
        <v>30</v>
      </c>
      <c r="J553" t="s">
        <v>99</v>
      </c>
      <c r="K553" t="s">
        <v>208</v>
      </c>
      <c r="L553">
        <v>11</v>
      </c>
      <c r="M553">
        <v>512.73</v>
      </c>
      <c r="N553">
        <v>0.15</v>
      </c>
      <c r="O553">
        <v>5640.03</v>
      </c>
      <c r="P553">
        <v>1564.57</v>
      </c>
    </row>
    <row r="554" spans="1:16" x14ac:dyDescent="0.35">
      <c r="A554" t="s">
        <v>866</v>
      </c>
      <c r="B554" s="1">
        <v>45141</v>
      </c>
      <c r="C554" s="1">
        <v>45143</v>
      </c>
      <c r="D554" t="s">
        <v>44</v>
      </c>
      <c r="E554" t="s">
        <v>505</v>
      </c>
      <c r="F554" t="s">
        <v>27</v>
      </c>
      <c r="G554" t="s">
        <v>332</v>
      </c>
      <c r="H554" t="s">
        <v>83</v>
      </c>
      <c r="I554" t="s">
        <v>30</v>
      </c>
      <c r="J554" t="s">
        <v>41</v>
      </c>
      <c r="K554" t="s">
        <v>42</v>
      </c>
      <c r="L554">
        <v>1</v>
      </c>
      <c r="M554">
        <v>180.73</v>
      </c>
      <c r="N554">
        <v>0</v>
      </c>
      <c r="O554">
        <v>180.73</v>
      </c>
      <c r="P554">
        <v>44.55</v>
      </c>
    </row>
    <row r="555" spans="1:16" x14ac:dyDescent="0.35">
      <c r="A555" t="s">
        <v>867</v>
      </c>
      <c r="B555" s="1">
        <v>45114</v>
      </c>
      <c r="C555" s="1">
        <v>45120</v>
      </c>
      <c r="D555" t="s">
        <v>17</v>
      </c>
      <c r="E555" t="s">
        <v>342</v>
      </c>
      <c r="F555" t="s">
        <v>27</v>
      </c>
      <c r="G555" t="s">
        <v>103</v>
      </c>
      <c r="H555" t="s">
        <v>62</v>
      </c>
      <c r="I555" t="s">
        <v>22</v>
      </c>
      <c r="J555" t="s">
        <v>74</v>
      </c>
      <c r="K555" t="s">
        <v>165</v>
      </c>
      <c r="L555">
        <v>11</v>
      </c>
      <c r="M555">
        <v>486.28</v>
      </c>
      <c r="N555">
        <v>0.2</v>
      </c>
      <c r="O555">
        <v>5349.08</v>
      </c>
      <c r="P555">
        <v>1648.31</v>
      </c>
    </row>
    <row r="556" spans="1:16" x14ac:dyDescent="0.35">
      <c r="A556" t="s">
        <v>868</v>
      </c>
      <c r="B556" s="1">
        <v>45221</v>
      </c>
      <c r="C556" s="1">
        <v>45223</v>
      </c>
      <c r="D556" t="s">
        <v>59</v>
      </c>
      <c r="E556" t="s">
        <v>415</v>
      </c>
      <c r="F556" t="s">
        <v>35</v>
      </c>
      <c r="G556" t="s">
        <v>51</v>
      </c>
      <c r="H556" t="s">
        <v>21</v>
      </c>
      <c r="I556" t="s">
        <v>52</v>
      </c>
      <c r="J556" t="s">
        <v>160</v>
      </c>
      <c r="K556" t="s">
        <v>634</v>
      </c>
      <c r="L556">
        <v>10</v>
      </c>
      <c r="M556">
        <v>411.71</v>
      </c>
      <c r="N556">
        <v>0</v>
      </c>
      <c r="O556">
        <v>4117.1000000000004</v>
      </c>
      <c r="P556">
        <v>708.66</v>
      </c>
    </row>
    <row r="557" spans="1:16" x14ac:dyDescent="0.35">
      <c r="A557" t="s">
        <v>869</v>
      </c>
      <c r="B557" s="1">
        <v>45571</v>
      </c>
      <c r="C557" s="1">
        <v>45576</v>
      </c>
      <c r="D557" t="s">
        <v>17</v>
      </c>
      <c r="E557" t="s">
        <v>693</v>
      </c>
      <c r="F557" t="s">
        <v>19</v>
      </c>
      <c r="G557" t="s">
        <v>332</v>
      </c>
      <c r="H557" t="s">
        <v>83</v>
      </c>
      <c r="I557" t="s">
        <v>22</v>
      </c>
      <c r="J557" t="s">
        <v>115</v>
      </c>
      <c r="K557" t="s">
        <v>133</v>
      </c>
      <c r="L557">
        <v>5</v>
      </c>
      <c r="M557">
        <v>475.23</v>
      </c>
      <c r="N557">
        <v>0.15</v>
      </c>
      <c r="O557">
        <v>2376.15</v>
      </c>
      <c r="P557">
        <v>63.98</v>
      </c>
    </row>
    <row r="558" spans="1:16" x14ac:dyDescent="0.35">
      <c r="A558" t="s">
        <v>870</v>
      </c>
      <c r="B558" s="1">
        <v>44979</v>
      </c>
      <c r="C558" s="1">
        <v>44980</v>
      </c>
      <c r="D558" t="s">
        <v>44</v>
      </c>
      <c r="E558" t="s">
        <v>81</v>
      </c>
      <c r="F558" t="s">
        <v>35</v>
      </c>
      <c r="G558" t="s">
        <v>128</v>
      </c>
      <c r="H558" t="s">
        <v>112</v>
      </c>
      <c r="I558" t="s">
        <v>30</v>
      </c>
      <c r="J558" t="s">
        <v>47</v>
      </c>
      <c r="K558" t="s">
        <v>94</v>
      </c>
      <c r="L558">
        <v>12</v>
      </c>
      <c r="M558">
        <v>400.44</v>
      </c>
      <c r="N558">
        <v>0.2</v>
      </c>
      <c r="O558">
        <v>4805.28</v>
      </c>
      <c r="P558">
        <v>306.79000000000002</v>
      </c>
    </row>
    <row r="559" spans="1:16" x14ac:dyDescent="0.35">
      <c r="A559" t="s">
        <v>871</v>
      </c>
      <c r="B559" s="1">
        <v>45594</v>
      </c>
      <c r="C559" s="1">
        <v>45601</v>
      </c>
      <c r="D559" t="s">
        <v>59</v>
      </c>
      <c r="E559" t="s">
        <v>576</v>
      </c>
      <c r="F559" t="s">
        <v>19</v>
      </c>
      <c r="G559" t="s">
        <v>86</v>
      </c>
      <c r="H559" t="s">
        <v>29</v>
      </c>
      <c r="I559" t="s">
        <v>52</v>
      </c>
      <c r="J559" t="s">
        <v>160</v>
      </c>
      <c r="K559" t="s">
        <v>161</v>
      </c>
      <c r="L559">
        <v>3</v>
      </c>
      <c r="M559">
        <v>339.11</v>
      </c>
      <c r="N559">
        <v>0</v>
      </c>
      <c r="O559">
        <v>1017.33</v>
      </c>
      <c r="P559">
        <v>245.19</v>
      </c>
    </row>
    <row r="560" spans="1:16" x14ac:dyDescent="0.35">
      <c r="A560" t="s">
        <v>872</v>
      </c>
      <c r="B560" s="1">
        <v>44953</v>
      </c>
      <c r="C560" s="1">
        <v>44955</v>
      </c>
      <c r="D560" t="s">
        <v>65</v>
      </c>
      <c r="E560" t="s">
        <v>873</v>
      </c>
      <c r="F560" t="s">
        <v>19</v>
      </c>
      <c r="G560" t="s">
        <v>72</v>
      </c>
      <c r="H560" t="s">
        <v>73</v>
      </c>
      <c r="I560" t="s">
        <v>22</v>
      </c>
      <c r="J560" t="s">
        <v>115</v>
      </c>
      <c r="K560" t="s">
        <v>147</v>
      </c>
      <c r="L560">
        <v>1</v>
      </c>
      <c r="M560">
        <v>657.51</v>
      </c>
      <c r="N560">
        <v>0.3</v>
      </c>
      <c r="O560">
        <v>657.51</v>
      </c>
      <c r="P560">
        <v>194.28</v>
      </c>
    </row>
    <row r="561" spans="1:16" x14ac:dyDescent="0.35">
      <c r="A561" t="s">
        <v>874</v>
      </c>
      <c r="B561" s="1">
        <v>45561</v>
      </c>
      <c r="C561" s="1">
        <v>45562</v>
      </c>
      <c r="D561" t="s">
        <v>17</v>
      </c>
      <c r="E561" t="s">
        <v>805</v>
      </c>
      <c r="F561" t="s">
        <v>35</v>
      </c>
      <c r="G561" t="s">
        <v>45</v>
      </c>
      <c r="H561" t="s">
        <v>83</v>
      </c>
      <c r="I561" t="s">
        <v>30</v>
      </c>
      <c r="J561" t="s">
        <v>41</v>
      </c>
      <c r="K561" t="s">
        <v>42</v>
      </c>
      <c r="L561">
        <v>3</v>
      </c>
      <c r="M561">
        <v>341.48</v>
      </c>
      <c r="N561">
        <v>0.3</v>
      </c>
      <c r="O561">
        <v>1024.44</v>
      </c>
      <c r="P561">
        <v>307.27999999999997</v>
      </c>
    </row>
    <row r="562" spans="1:16" x14ac:dyDescent="0.35">
      <c r="A562" t="s">
        <v>875</v>
      </c>
      <c r="B562" s="1">
        <v>45617</v>
      </c>
      <c r="C562" s="1">
        <v>45619</v>
      </c>
      <c r="D562" t="s">
        <v>17</v>
      </c>
      <c r="E562" t="s">
        <v>66</v>
      </c>
      <c r="F562" t="s">
        <v>35</v>
      </c>
      <c r="G562" t="s">
        <v>90</v>
      </c>
      <c r="H562" t="s">
        <v>62</v>
      </c>
      <c r="I562" t="s">
        <v>52</v>
      </c>
      <c r="J562" t="s">
        <v>160</v>
      </c>
      <c r="K562" t="s">
        <v>161</v>
      </c>
      <c r="L562">
        <v>5</v>
      </c>
      <c r="M562">
        <v>199.04</v>
      </c>
      <c r="N562">
        <v>0</v>
      </c>
      <c r="O562">
        <v>995.2</v>
      </c>
      <c r="P562">
        <v>4.93</v>
      </c>
    </row>
    <row r="563" spans="1:16" x14ac:dyDescent="0.35">
      <c r="A563" t="s">
        <v>876</v>
      </c>
      <c r="B563" s="1">
        <v>45404</v>
      </c>
      <c r="C563" s="1">
        <v>45410</v>
      </c>
      <c r="D563" t="s">
        <v>65</v>
      </c>
      <c r="E563" t="s">
        <v>737</v>
      </c>
      <c r="F563" t="s">
        <v>27</v>
      </c>
      <c r="G563" t="s">
        <v>90</v>
      </c>
      <c r="H563" t="s">
        <v>62</v>
      </c>
      <c r="I563" t="s">
        <v>52</v>
      </c>
      <c r="J563" t="s">
        <v>53</v>
      </c>
      <c r="K563" t="s">
        <v>91</v>
      </c>
      <c r="L563">
        <v>8</v>
      </c>
      <c r="M563">
        <v>117.98</v>
      </c>
      <c r="N563">
        <v>0</v>
      </c>
      <c r="O563">
        <v>943.84</v>
      </c>
      <c r="P563">
        <v>-43.94</v>
      </c>
    </row>
    <row r="564" spans="1:16" x14ac:dyDescent="0.35">
      <c r="A564" t="s">
        <v>877</v>
      </c>
      <c r="B564" s="1">
        <v>45506</v>
      </c>
      <c r="C564" s="1">
        <v>45510</v>
      </c>
      <c r="D564" t="s">
        <v>44</v>
      </c>
      <c r="E564" t="s">
        <v>589</v>
      </c>
      <c r="F564" t="s">
        <v>19</v>
      </c>
      <c r="G564" t="s">
        <v>45</v>
      </c>
      <c r="H564" t="s">
        <v>46</v>
      </c>
      <c r="I564" t="s">
        <v>22</v>
      </c>
      <c r="J564" t="s">
        <v>37</v>
      </c>
      <c r="K564" t="s">
        <v>144</v>
      </c>
      <c r="L564">
        <v>11</v>
      </c>
      <c r="M564">
        <v>65.06</v>
      </c>
      <c r="N564">
        <v>0</v>
      </c>
      <c r="O564">
        <v>715.66</v>
      </c>
      <c r="P564">
        <v>94.93</v>
      </c>
    </row>
    <row r="565" spans="1:16" x14ac:dyDescent="0.35">
      <c r="A565" t="s">
        <v>382</v>
      </c>
      <c r="B565" s="1">
        <v>45491</v>
      </c>
      <c r="C565" s="1">
        <v>45497</v>
      </c>
      <c r="D565" t="s">
        <v>65</v>
      </c>
      <c r="E565" t="s">
        <v>383</v>
      </c>
      <c r="F565" t="s">
        <v>19</v>
      </c>
      <c r="G565" t="s">
        <v>20</v>
      </c>
      <c r="H565" t="s">
        <v>21</v>
      </c>
      <c r="I565" t="s">
        <v>22</v>
      </c>
      <c r="J565" t="s">
        <v>115</v>
      </c>
      <c r="K565" t="s">
        <v>147</v>
      </c>
      <c r="L565">
        <v>7</v>
      </c>
      <c r="M565">
        <v>267.64</v>
      </c>
      <c r="N565">
        <v>0.3</v>
      </c>
      <c r="O565">
        <v>1873.48</v>
      </c>
      <c r="P565">
        <v>-181.19</v>
      </c>
    </row>
    <row r="566" spans="1:16" x14ac:dyDescent="0.35">
      <c r="A566" t="s">
        <v>878</v>
      </c>
      <c r="B566" s="1">
        <v>45350</v>
      </c>
      <c r="C566" s="1">
        <v>45353</v>
      </c>
      <c r="D566" t="s">
        <v>44</v>
      </c>
      <c r="E566" t="s">
        <v>167</v>
      </c>
      <c r="F566" t="s">
        <v>35</v>
      </c>
      <c r="G566" t="s">
        <v>111</v>
      </c>
      <c r="H566" t="s">
        <v>112</v>
      </c>
      <c r="I566" t="s">
        <v>30</v>
      </c>
      <c r="J566" t="s">
        <v>99</v>
      </c>
      <c r="K566" t="s">
        <v>154</v>
      </c>
      <c r="L566">
        <v>11</v>
      </c>
      <c r="M566">
        <v>183.51</v>
      </c>
      <c r="N566">
        <v>0</v>
      </c>
      <c r="O566">
        <v>2018.61</v>
      </c>
      <c r="P566">
        <v>21.36</v>
      </c>
    </row>
    <row r="567" spans="1:16" x14ac:dyDescent="0.35">
      <c r="A567" t="s">
        <v>879</v>
      </c>
      <c r="B567" s="1">
        <v>45416</v>
      </c>
      <c r="C567" s="1">
        <v>45417</v>
      </c>
      <c r="D567" t="s">
        <v>59</v>
      </c>
      <c r="E567" t="s">
        <v>615</v>
      </c>
      <c r="F567" t="s">
        <v>19</v>
      </c>
      <c r="G567" t="s">
        <v>332</v>
      </c>
      <c r="H567" t="s">
        <v>46</v>
      </c>
      <c r="I567" t="s">
        <v>30</v>
      </c>
      <c r="J567" t="s">
        <v>41</v>
      </c>
      <c r="K567" t="s">
        <v>191</v>
      </c>
      <c r="L567">
        <v>5</v>
      </c>
      <c r="M567">
        <v>81.239999999999995</v>
      </c>
      <c r="N567">
        <v>0</v>
      </c>
      <c r="O567">
        <v>406.2</v>
      </c>
      <c r="P567">
        <v>-36.869999999999997</v>
      </c>
    </row>
    <row r="568" spans="1:16" x14ac:dyDescent="0.35">
      <c r="A568" t="s">
        <v>880</v>
      </c>
      <c r="B568" s="1">
        <v>45217</v>
      </c>
      <c r="C568" s="1">
        <v>45223</v>
      </c>
      <c r="D568" t="s">
        <v>44</v>
      </c>
      <c r="F568" t="s">
        <v>19</v>
      </c>
      <c r="G568" t="s">
        <v>103</v>
      </c>
      <c r="H568" t="s">
        <v>73</v>
      </c>
      <c r="I568" t="s">
        <v>30</v>
      </c>
      <c r="J568" t="s">
        <v>41</v>
      </c>
      <c r="K568" t="s">
        <v>42</v>
      </c>
      <c r="L568">
        <v>2</v>
      </c>
      <c r="M568">
        <v>449.28</v>
      </c>
      <c r="N568">
        <v>0.3</v>
      </c>
      <c r="O568">
        <v>898.56</v>
      </c>
      <c r="P568">
        <v>145.49</v>
      </c>
    </row>
    <row r="569" spans="1:16" x14ac:dyDescent="0.35">
      <c r="A569" t="s">
        <v>881</v>
      </c>
      <c r="B569" s="1">
        <v>44937</v>
      </c>
      <c r="C569" s="1">
        <v>44939</v>
      </c>
      <c r="D569" t="s">
        <v>65</v>
      </c>
      <c r="E569" t="s">
        <v>171</v>
      </c>
      <c r="F569" t="s">
        <v>19</v>
      </c>
      <c r="G569" t="s">
        <v>111</v>
      </c>
      <c r="H569" t="s">
        <v>112</v>
      </c>
      <c r="I569" t="s">
        <v>22</v>
      </c>
      <c r="J569" t="s">
        <v>23</v>
      </c>
      <c r="K569" t="s">
        <v>178</v>
      </c>
      <c r="L569">
        <v>3</v>
      </c>
      <c r="M569">
        <v>397.51</v>
      </c>
      <c r="N569">
        <v>0</v>
      </c>
      <c r="O569">
        <v>1192.53</v>
      </c>
      <c r="P569">
        <v>-152.81</v>
      </c>
    </row>
    <row r="570" spans="1:16" x14ac:dyDescent="0.35">
      <c r="A570" t="s">
        <v>882</v>
      </c>
      <c r="B570" s="1">
        <v>45358</v>
      </c>
      <c r="C570" s="1">
        <v>45363</v>
      </c>
      <c r="D570" t="s">
        <v>65</v>
      </c>
      <c r="E570" t="s">
        <v>261</v>
      </c>
      <c r="F570" t="s">
        <v>27</v>
      </c>
      <c r="G570" t="s">
        <v>181</v>
      </c>
      <c r="H570" t="s">
        <v>46</v>
      </c>
      <c r="I570" t="s">
        <v>52</v>
      </c>
      <c r="J570" t="s">
        <v>68</v>
      </c>
      <c r="K570" t="s">
        <v>108</v>
      </c>
      <c r="L570">
        <v>8</v>
      </c>
      <c r="M570">
        <v>455.94</v>
      </c>
      <c r="N570">
        <v>0.15</v>
      </c>
      <c r="O570">
        <v>3647.52</v>
      </c>
      <c r="P570">
        <v>-468.04</v>
      </c>
    </row>
    <row r="571" spans="1:16" x14ac:dyDescent="0.35">
      <c r="A571" t="s">
        <v>883</v>
      </c>
      <c r="B571" s="1">
        <v>45028</v>
      </c>
      <c r="C571" s="1">
        <v>45034</v>
      </c>
      <c r="D571" t="s">
        <v>44</v>
      </c>
      <c r="E571" t="s">
        <v>617</v>
      </c>
      <c r="F571" t="s">
        <v>35</v>
      </c>
      <c r="G571" t="s">
        <v>181</v>
      </c>
      <c r="H571" t="s">
        <v>46</v>
      </c>
      <c r="I571" t="s">
        <v>22</v>
      </c>
      <c r="J571" t="s">
        <v>74</v>
      </c>
      <c r="K571" t="s">
        <v>165</v>
      </c>
      <c r="L571">
        <v>11</v>
      </c>
      <c r="M571">
        <v>297.63</v>
      </c>
      <c r="N571">
        <v>0</v>
      </c>
      <c r="O571">
        <v>3273.93</v>
      </c>
      <c r="P571">
        <v>527.04999999999995</v>
      </c>
    </row>
    <row r="572" spans="1:16" x14ac:dyDescent="0.35">
      <c r="A572" t="s">
        <v>884</v>
      </c>
      <c r="B572" s="1">
        <v>45515</v>
      </c>
      <c r="C572" s="1">
        <v>45518</v>
      </c>
      <c r="D572" t="s">
        <v>17</v>
      </c>
      <c r="F572" t="s">
        <v>19</v>
      </c>
      <c r="G572" t="s">
        <v>132</v>
      </c>
      <c r="H572" t="s">
        <v>129</v>
      </c>
      <c r="I572" t="s">
        <v>30</v>
      </c>
      <c r="J572" t="s">
        <v>47</v>
      </c>
      <c r="K572" t="s">
        <v>63</v>
      </c>
      <c r="L572">
        <v>1</v>
      </c>
      <c r="M572">
        <v>436.36</v>
      </c>
      <c r="N572">
        <v>0</v>
      </c>
      <c r="O572">
        <v>436.36</v>
      </c>
      <c r="P572">
        <v>-50.72</v>
      </c>
    </row>
    <row r="573" spans="1:16" x14ac:dyDescent="0.35">
      <c r="A573" t="s">
        <v>885</v>
      </c>
      <c r="B573" s="1">
        <v>45433</v>
      </c>
      <c r="C573" s="1">
        <v>45439</v>
      </c>
      <c r="D573" t="s">
        <v>17</v>
      </c>
      <c r="E573" t="s">
        <v>81</v>
      </c>
      <c r="F573" t="s">
        <v>35</v>
      </c>
      <c r="G573" t="s">
        <v>61</v>
      </c>
      <c r="H573" t="s">
        <v>62</v>
      </c>
      <c r="I573" t="s">
        <v>52</v>
      </c>
      <c r="J573" t="s">
        <v>160</v>
      </c>
      <c r="K573" t="s">
        <v>161</v>
      </c>
      <c r="L573">
        <v>6</v>
      </c>
      <c r="M573">
        <v>832.62</v>
      </c>
      <c r="N573">
        <v>0.2</v>
      </c>
      <c r="O573">
        <v>4995.72</v>
      </c>
      <c r="P573">
        <v>416.03</v>
      </c>
    </row>
    <row r="574" spans="1:16" x14ac:dyDescent="0.35">
      <c r="A574" t="s">
        <v>886</v>
      </c>
      <c r="B574" s="1">
        <v>45421</v>
      </c>
      <c r="C574" s="1">
        <v>45423</v>
      </c>
      <c r="D574" t="s">
        <v>44</v>
      </c>
      <c r="E574" t="s">
        <v>781</v>
      </c>
      <c r="F574" t="s">
        <v>35</v>
      </c>
      <c r="G574" t="s">
        <v>82</v>
      </c>
      <c r="H574" t="s">
        <v>46</v>
      </c>
      <c r="I574" t="s">
        <v>22</v>
      </c>
      <c r="J574" t="s">
        <v>74</v>
      </c>
      <c r="K574" t="s">
        <v>75</v>
      </c>
      <c r="L574">
        <v>11</v>
      </c>
      <c r="M574">
        <v>584.19000000000005</v>
      </c>
      <c r="N574">
        <v>0.3</v>
      </c>
      <c r="O574">
        <v>6426.09</v>
      </c>
      <c r="P574">
        <v>-302.38</v>
      </c>
    </row>
    <row r="575" spans="1:16" x14ac:dyDescent="0.35">
      <c r="A575" t="s">
        <v>887</v>
      </c>
      <c r="B575" s="1">
        <v>45062</v>
      </c>
      <c r="C575" s="1">
        <v>45065</v>
      </c>
      <c r="D575" t="s">
        <v>17</v>
      </c>
      <c r="E575" t="s">
        <v>137</v>
      </c>
      <c r="F575" t="s">
        <v>19</v>
      </c>
      <c r="G575" t="s">
        <v>67</v>
      </c>
      <c r="H575" t="s">
        <v>21</v>
      </c>
      <c r="I575" t="s">
        <v>30</v>
      </c>
      <c r="J575" t="s">
        <v>47</v>
      </c>
      <c r="K575" t="s">
        <v>63</v>
      </c>
      <c r="L575">
        <v>9</v>
      </c>
      <c r="M575">
        <v>834.81</v>
      </c>
      <c r="N575">
        <v>10</v>
      </c>
      <c r="O575">
        <v>7513.29</v>
      </c>
      <c r="P575">
        <v>-1087.02</v>
      </c>
    </row>
    <row r="576" spans="1:16" x14ac:dyDescent="0.35">
      <c r="A576" t="s">
        <v>888</v>
      </c>
      <c r="B576" s="1">
        <v>45568</v>
      </c>
      <c r="C576" s="1">
        <v>45574</v>
      </c>
      <c r="D576" t="s">
        <v>59</v>
      </c>
      <c r="E576" t="s">
        <v>408</v>
      </c>
      <c r="F576" t="s">
        <v>35</v>
      </c>
      <c r="G576" t="s">
        <v>111</v>
      </c>
      <c r="I576" t="s">
        <v>30</v>
      </c>
      <c r="J576" t="s">
        <v>47</v>
      </c>
      <c r="K576" t="s">
        <v>94</v>
      </c>
      <c r="L576">
        <v>2</v>
      </c>
      <c r="M576">
        <v>685.53</v>
      </c>
      <c r="N576">
        <v>0.2</v>
      </c>
      <c r="O576">
        <v>1371.06</v>
      </c>
      <c r="P576">
        <v>392.52</v>
      </c>
    </row>
    <row r="577" spans="1:16" x14ac:dyDescent="0.35">
      <c r="A577" t="s">
        <v>889</v>
      </c>
      <c r="B577" s="1">
        <v>45038</v>
      </c>
      <c r="C577" s="1">
        <v>45041</v>
      </c>
      <c r="D577" t="s">
        <v>44</v>
      </c>
      <c r="E577" t="s">
        <v>890</v>
      </c>
      <c r="F577" t="s">
        <v>27</v>
      </c>
      <c r="G577" t="s">
        <v>211</v>
      </c>
      <c r="H577" t="s">
        <v>29</v>
      </c>
      <c r="I577" t="s">
        <v>52</v>
      </c>
      <c r="J577" t="s">
        <v>194</v>
      </c>
      <c r="K577" t="s">
        <v>306</v>
      </c>
      <c r="L577">
        <v>11</v>
      </c>
      <c r="M577">
        <v>620.99</v>
      </c>
      <c r="N577">
        <v>0</v>
      </c>
      <c r="O577">
        <v>6830.89</v>
      </c>
      <c r="P577">
        <v>-35.19</v>
      </c>
    </row>
    <row r="578" spans="1:16" x14ac:dyDescent="0.35">
      <c r="A578" t="s">
        <v>849</v>
      </c>
      <c r="B578" s="1">
        <v>45028</v>
      </c>
      <c r="C578" s="1">
        <v>45029</v>
      </c>
      <c r="D578" t="s">
        <v>17</v>
      </c>
      <c r="E578" t="s">
        <v>255</v>
      </c>
      <c r="F578" t="s">
        <v>27</v>
      </c>
      <c r="H578" t="s">
        <v>29</v>
      </c>
      <c r="I578" t="s">
        <v>30</v>
      </c>
      <c r="J578" t="s">
        <v>47</v>
      </c>
      <c r="K578" t="s">
        <v>48</v>
      </c>
      <c r="L578">
        <v>10</v>
      </c>
      <c r="M578">
        <v>794.41</v>
      </c>
      <c r="N578">
        <v>0.1</v>
      </c>
      <c r="O578">
        <v>7944.1</v>
      </c>
      <c r="P578">
        <v>702.5</v>
      </c>
    </row>
    <row r="579" spans="1:16" x14ac:dyDescent="0.35">
      <c r="A579" t="s">
        <v>891</v>
      </c>
      <c r="B579" s="1">
        <v>45159</v>
      </c>
      <c r="C579" s="1">
        <v>45165</v>
      </c>
      <c r="D579" t="s">
        <v>17</v>
      </c>
      <c r="E579" t="s">
        <v>737</v>
      </c>
      <c r="F579" t="s">
        <v>35</v>
      </c>
      <c r="G579" t="s">
        <v>211</v>
      </c>
      <c r="H579" t="s">
        <v>159</v>
      </c>
      <c r="I579" t="s">
        <v>30</v>
      </c>
      <c r="J579" t="s">
        <v>41</v>
      </c>
      <c r="K579" t="s">
        <v>42</v>
      </c>
      <c r="L579">
        <v>8</v>
      </c>
      <c r="M579">
        <v>524</v>
      </c>
      <c r="N579">
        <v>0</v>
      </c>
      <c r="O579">
        <v>4192</v>
      </c>
      <c r="P579">
        <v>531.14</v>
      </c>
    </row>
    <row r="580" spans="1:16" x14ac:dyDescent="0.35">
      <c r="A580" t="s">
        <v>892</v>
      </c>
      <c r="B580" s="1">
        <v>45041</v>
      </c>
      <c r="C580" s="1">
        <v>45046</v>
      </c>
      <c r="D580" t="s">
        <v>44</v>
      </c>
      <c r="E580" t="s">
        <v>395</v>
      </c>
      <c r="F580" t="s">
        <v>35</v>
      </c>
      <c r="G580" t="s">
        <v>211</v>
      </c>
      <c r="H580" t="s">
        <v>29</v>
      </c>
      <c r="I580" t="s">
        <v>52</v>
      </c>
      <c r="J580" t="s">
        <v>194</v>
      </c>
      <c r="K580" t="s">
        <v>306</v>
      </c>
      <c r="L580">
        <v>3</v>
      </c>
      <c r="M580">
        <v>720.44</v>
      </c>
      <c r="N580">
        <v>0.3</v>
      </c>
      <c r="O580">
        <v>2161.3200000000002</v>
      </c>
      <c r="P580">
        <v>-288.44</v>
      </c>
    </row>
    <row r="581" spans="1:16" x14ac:dyDescent="0.35">
      <c r="A581" t="s">
        <v>893</v>
      </c>
      <c r="B581" s="1">
        <v>45057</v>
      </c>
      <c r="C581" s="1">
        <v>45064</v>
      </c>
      <c r="D581" t="s">
        <v>65</v>
      </c>
      <c r="E581" t="s">
        <v>274</v>
      </c>
      <c r="F581" t="s">
        <v>35</v>
      </c>
      <c r="G581" t="s">
        <v>72</v>
      </c>
      <c r="H581" t="s">
        <v>73</v>
      </c>
      <c r="I581" t="s">
        <v>52</v>
      </c>
      <c r="J581" t="s">
        <v>53</v>
      </c>
      <c r="K581" t="s">
        <v>54</v>
      </c>
      <c r="L581">
        <v>4</v>
      </c>
      <c r="M581">
        <v>566.11</v>
      </c>
      <c r="N581">
        <v>0.1</v>
      </c>
      <c r="O581">
        <v>2264.44</v>
      </c>
      <c r="P581">
        <v>611.14</v>
      </c>
    </row>
    <row r="582" spans="1:16" x14ac:dyDescent="0.35">
      <c r="A582" t="s">
        <v>894</v>
      </c>
      <c r="B582" s="1">
        <v>45411</v>
      </c>
      <c r="C582" s="1">
        <v>45417</v>
      </c>
      <c r="D582" t="s">
        <v>44</v>
      </c>
      <c r="E582" t="s">
        <v>340</v>
      </c>
      <c r="F582" t="s">
        <v>19</v>
      </c>
      <c r="G582" t="s">
        <v>132</v>
      </c>
      <c r="H582" t="s">
        <v>112</v>
      </c>
      <c r="I582" t="s">
        <v>52</v>
      </c>
      <c r="J582" t="s">
        <v>160</v>
      </c>
      <c r="K582" t="s">
        <v>234</v>
      </c>
      <c r="L582">
        <v>6</v>
      </c>
      <c r="M582">
        <v>783.38</v>
      </c>
      <c r="N582">
        <v>0.3</v>
      </c>
      <c r="O582">
        <v>4700.28</v>
      </c>
      <c r="P582">
        <v>1280.92</v>
      </c>
    </row>
    <row r="583" spans="1:16" x14ac:dyDescent="0.35">
      <c r="A583" t="s">
        <v>895</v>
      </c>
      <c r="B583" s="1">
        <v>45378</v>
      </c>
      <c r="C583" s="1">
        <v>45379</v>
      </c>
      <c r="D583" t="s">
        <v>17</v>
      </c>
      <c r="E583" t="s">
        <v>599</v>
      </c>
      <c r="F583" t="s">
        <v>19</v>
      </c>
      <c r="G583" t="s">
        <v>86</v>
      </c>
      <c r="I583" t="s">
        <v>30</v>
      </c>
      <c r="J583" t="s">
        <v>47</v>
      </c>
      <c r="K583" t="s">
        <v>94</v>
      </c>
      <c r="L583">
        <v>7</v>
      </c>
      <c r="M583">
        <v>468.65</v>
      </c>
      <c r="N583">
        <v>0</v>
      </c>
      <c r="O583">
        <v>3280.55</v>
      </c>
      <c r="P583">
        <v>522.57000000000005</v>
      </c>
    </row>
    <row r="584" spans="1:16" x14ac:dyDescent="0.35">
      <c r="A584" t="s">
        <v>896</v>
      </c>
      <c r="B584" s="1">
        <v>45447</v>
      </c>
      <c r="C584" s="1">
        <v>45452</v>
      </c>
      <c r="D584" t="s">
        <v>17</v>
      </c>
      <c r="E584" t="s">
        <v>445</v>
      </c>
      <c r="F584" t="s">
        <v>19</v>
      </c>
      <c r="G584" t="s">
        <v>86</v>
      </c>
      <c r="H584" t="s">
        <v>159</v>
      </c>
      <c r="I584" t="s">
        <v>30</v>
      </c>
      <c r="J584" t="s">
        <v>41</v>
      </c>
      <c r="K584" t="s">
        <v>105</v>
      </c>
      <c r="L584">
        <v>12</v>
      </c>
      <c r="M584">
        <v>291.68</v>
      </c>
      <c r="N584">
        <v>0.2</v>
      </c>
      <c r="O584">
        <v>3500.16</v>
      </c>
      <c r="P584">
        <v>-168.69</v>
      </c>
    </row>
    <row r="585" spans="1:16" x14ac:dyDescent="0.35">
      <c r="A585" t="s">
        <v>897</v>
      </c>
      <c r="B585" s="1">
        <v>45415</v>
      </c>
      <c r="C585" s="1">
        <v>45416</v>
      </c>
      <c r="D585" t="s">
        <v>17</v>
      </c>
      <c r="E585" t="s">
        <v>322</v>
      </c>
      <c r="F585" t="s">
        <v>35</v>
      </c>
      <c r="G585" t="s">
        <v>128</v>
      </c>
      <c r="H585" t="s">
        <v>129</v>
      </c>
      <c r="I585" t="s">
        <v>22</v>
      </c>
      <c r="J585" t="s">
        <v>74</v>
      </c>
      <c r="K585" t="s">
        <v>75</v>
      </c>
      <c r="L585">
        <v>9</v>
      </c>
      <c r="M585">
        <v>806.05</v>
      </c>
      <c r="N585">
        <v>0</v>
      </c>
      <c r="O585">
        <v>7254.45</v>
      </c>
      <c r="P585">
        <v>-790.7</v>
      </c>
    </row>
    <row r="586" spans="1:16" x14ac:dyDescent="0.35">
      <c r="A586" t="s">
        <v>898</v>
      </c>
      <c r="B586" s="1">
        <v>45566</v>
      </c>
      <c r="C586" s="1">
        <v>45572</v>
      </c>
      <c r="D586" t="s">
        <v>44</v>
      </c>
      <c r="E586" t="s">
        <v>805</v>
      </c>
      <c r="F586" t="s">
        <v>19</v>
      </c>
      <c r="G586" t="s">
        <v>45</v>
      </c>
      <c r="H586" t="s">
        <v>123</v>
      </c>
      <c r="I586" t="s">
        <v>22</v>
      </c>
      <c r="J586" t="s">
        <v>115</v>
      </c>
      <c r="K586" t="s">
        <v>133</v>
      </c>
      <c r="L586">
        <v>9</v>
      </c>
      <c r="M586">
        <v>430.37</v>
      </c>
      <c r="N586">
        <v>0</v>
      </c>
      <c r="O586">
        <v>3873.33</v>
      </c>
      <c r="P586">
        <v>91.64</v>
      </c>
    </row>
    <row r="587" spans="1:16" x14ac:dyDescent="0.35">
      <c r="A587" t="s">
        <v>899</v>
      </c>
      <c r="B587" s="1">
        <v>45530</v>
      </c>
      <c r="C587" s="1">
        <v>45534</v>
      </c>
      <c r="D587" t="s">
        <v>65</v>
      </c>
      <c r="E587" t="s">
        <v>637</v>
      </c>
      <c r="F587" t="s">
        <v>35</v>
      </c>
      <c r="G587" t="s">
        <v>51</v>
      </c>
      <c r="H587" t="s">
        <v>21</v>
      </c>
      <c r="I587" t="s">
        <v>30</v>
      </c>
      <c r="J587" t="s">
        <v>47</v>
      </c>
      <c r="K587" t="s">
        <v>48</v>
      </c>
      <c r="L587">
        <v>8</v>
      </c>
      <c r="M587">
        <v>512.16</v>
      </c>
      <c r="N587">
        <v>0.3</v>
      </c>
      <c r="O587">
        <v>4097.28</v>
      </c>
      <c r="P587">
        <v>1008.63</v>
      </c>
    </row>
    <row r="588" spans="1:16" x14ac:dyDescent="0.35">
      <c r="A588" t="s">
        <v>900</v>
      </c>
      <c r="B588" s="1">
        <v>45600</v>
      </c>
      <c r="C588" s="1">
        <v>45603</v>
      </c>
      <c r="D588" t="s">
        <v>44</v>
      </c>
      <c r="E588" t="s">
        <v>901</v>
      </c>
      <c r="F588" t="s">
        <v>35</v>
      </c>
      <c r="G588" t="s">
        <v>332</v>
      </c>
      <c r="H588" t="s">
        <v>123</v>
      </c>
      <c r="I588" t="s">
        <v>52</v>
      </c>
      <c r="J588" t="s">
        <v>78</v>
      </c>
      <c r="K588" t="s">
        <v>198</v>
      </c>
      <c r="L588">
        <v>12</v>
      </c>
      <c r="M588">
        <v>51.59</v>
      </c>
      <c r="N588">
        <v>0</v>
      </c>
      <c r="O588">
        <v>619.08000000000004</v>
      </c>
      <c r="P588">
        <v>-63.67</v>
      </c>
    </row>
    <row r="589" spans="1:16" x14ac:dyDescent="0.35">
      <c r="A589" t="s">
        <v>902</v>
      </c>
      <c r="B589" s="1">
        <v>45394</v>
      </c>
      <c r="C589" s="1">
        <v>45395</v>
      </c>
      <c r="D589" t="s">
        <v>59</v>
      </c>
      <c r="E589" t="s">
        <v>251</v>
      </c>
      <c r="F589" t="s">
        <v>27</v>
      </c>
      <c r="G589" t="s">
        <v>187</v>
      </c>
      <c r="H589" t="s">
        <v>159</v>
      </c>
      <c r="I589" t="s">
        <v>30</v>
      </c>
      <c r="J589" t="s">
        <v>31</v>
      </c>
      <c r="K589" t="s">
        <v>57</v>
      </c>
      <c r="L589">
        <v>12</v>
      </c>
      <c r="M589">
        <v>360.75</v>
      </c>
      <c r="N589">
        <v>0</v>
      </c>
      <c r="O589">
        <v>4329</v>
      </c>
      <c r="P589">
        <v>1194.3</v>
      </c>
    </row>
    <row r="590" spans="1:16" x14ac:dyDescent="0.35">
      <c r="A590" t="s">
        <v>903</v>
      </c>
      <c r="B590" s="1">
        <v>44971</v>
      </c>
      <c r="C590" s="1">
        <v>44974</v>
      </c>
      <c r="D590" t="s">
        <v>44</v>
      </c>
      <c r="E590" t="s">
        <v>279</v>
      </c>
      <c r="F590" t="s">
        <v>27</v>
      </c>
      <c r="G590" t="s">
        <v>211</v>
      </c>
      <c r="H590" t="s">
        <v>29</v>
      </c>
      <c r="I590" t="s">
        <v>22</v>
      </c>
      <c r="J590" t="s">
        <v>37</v>
      </c>
      <c r="K590" t="s">
        <v>38</v>
      </c>
      <c r="L590">
        <v>2</v>
      </c>
      <c r="M590">
        <v>152.16999999999999</v>
      </c>
      <c r="N590">
        <v>0</v>
      </c>
      <c r="O590">
        <v>304.33999999999997</v>
      </c>
      <c r="P590">
        <v>67.010000000000005</v>
      </c>
    </row>
    <row r="591" spans="1:16" x14ac:dyDescent="0.35">
      <c r="A591" t="s">
        <v>904</v>
      </c>
      <c r="B591" s="1">
        <v>45313</v>
      </c>
      <c r="C591" s="1">
        <v>45316</v>
      </c>
      <c r="D591" t="s">
        <v>44</v>
      </c>
      <c r="E591" t="s">
        <v>457</v>
      </c>
      <c r="F591" t="s">
        <v>35</v>
      </c>
      <c r="G591" t="s">
        <v>128</v>
      </c>
      <c r="H591" t="s">
        <v>112</v>
      </c>
      <c r="I591" t="s">
        <v>30</v>
      </c>
      <c r="J591" t="s">
        <v>99</v>
      </c>
      <c r="K591" t="s">
        <v>100</v>
      </c>
      <c r="L591">
        <v>5</v>
      </c>
      <c r="M591">
        <v>357.99</v>
      </c>
      <c r="N591">
        <v>0</v>
      </c>
      <c r="O591">
        <v>1789.95</v>
      </c>
      <c r="P591">
        <v>-229.1</v>
      </c>
    </row>
    <row r="592" spans="1:16" x14ac:dyDescent="0.35">
      <c r="A592" t="s">
        <v>905</v>
      </c>
      <c r="B592" s="1">
        <v>45478</v>
      </c>
      <c r="C592" s="1">
        <v>45485</v>
      </c>
      <c r="D592" t="s">
        <v>44</v>
      </c>
      <c r="E592" t="s">
        <v>269</v>
      </c>
      <c r="F592" t="s">
        <v>27</v>
      </c>
      <c r="G592" t="s">
        <v>332</v>
      </c>
      <c r="H592" t="s">
        <v>83</v>
      </c>
      <c r="I592" t="s">
        <v>22</v>
      </c>
      <c r="J592" t="s">
        <v>115</v>
      </c>
      <c r="K592" t="s">
        <v>116</v>
      </c>
      <c r="L592">
        <v>7</v>
      </c>
      <c r="M592">
        <v>39.61</v>
      </c>
      <c r="O592">
        <v>277.27</v>
      </c>
      <c r="P592">
        <v>63.64</v>
      </c>
    </row>
    <row r="593" spans="1:16" x14ac:dyDescent="0.35">
      <c r="A593" t="s">
        <v>906</v>
      </c>
      <c r="B593" s="1">
        <v>45489</v>
      </c>
      <c r="C593" s="1">
        <v>45490</v>
      </c>
      <c r="D593" t="s">
        <v>44</v>
      </c>
      <c r="E593" t="s">
        <v>770</v>
      </c>
      <c r="F593" t="s">
        <v>27</v>
      </c>
      <c r="G593" t="s">
        <v>67</v>
      </c>
      <c r="H593" t="s">
        <v>21</v>
      </c>
      <c r="I593" t="s">
        <v>52</v>
      </c>
      <c r="J593" t="s">
        <v>160</v>
      </c>
      <c r="K593" t="s">
        <v>234</v>
      </c>
      <c r="L593">
        <v>6</v>
      </c>
      <c r="M593">
        <v>324.64</v>
      </c>
      <c r="N593">
        <v>10</v>
      </c>
      <c r="O593">
        <v>1947.84</v>
      </c>
      <c r="P593">
        <v>346.2</v>
      </c>
    </row>
    <row r="594" spans="1:16" x14ac:dyDescent="0.35">
      <c r="A594" t="s">
        <v>907</v>
      </c>
      <c r="B594" s="1">
        <v>45601</v>
      </c>
      <c r="C594" s="1">
        <v>45608</v>
      </c>
      <c r="D594" t="s">
        <v>44</v>
      </c>
      <c r="E594" t="s">
        <v>535</v>
      </c>
      <c r="F594" t="s">
        <v>35</v>
      </c>
      <c r="G594" t="s">
        <v>51</v>
      </c>
      <c r="H594" t="s">
        <v>21</v>
      </c>
      <c r="I594" t="s">
        <v>52</v>
      </c>
      <c r="J594" t="s">
        <v>78</v>
      </c>
      <c r="K594" t="s">
        <v>96</v>
      </c>
      <c r="L594">
        <v>5</v>
      </c>
      <c r="M594">
        <v>296.83999999999997</v>
      </c>
      <c r="N594">
        <v>0</v>
      </c>
      <c r="O594">
        <v>1484.2</v>
      </c>
      <c r="P594">
        <v>198.57</v>
      </c>
    </row>
    <row r="595" spans="1:16" x14ac:dyDescent="0.35">
      <c r="A595" t="s">
        <v>908</v>
      </c>
      <c r="B595" s="1">
        <v>44980</v>
      </c>
      <c r="C595" s="1">
        <v>44982</v>
      </c>
      <c r="D595" t="s">
        <v>17</v>
      </c>
      <c r="E595" t="s">
        <v>781</v>
      </c>
      <c r="F595" t="s">
        <v>19</v>
      </c>
      <c r="G595" t="s">
        <v>132</v>
      </c>
      <c r="H595" t="s">
        <v>129</v>
      </c>
      <c r="I595" t="s">
        <v>52</v>
      </c>
      <c r="J595" t="s">
        <v>78</v>
      </c>
      <c r="K595" t="s">
        <v>96</v>
      </c>
      <c r="L595">
        <v>7</v>
      </c>
      <c r="M595">
        <v>616.74</v>
      </c>
      <c r="N595">
        <v>0.1</v>
      </c>
      <c r="O595">
        <v>4317.18</v>
      </c>
      <c r="P595">
        <v>376.87</v>
      </c>
    </row>
    <row r="596" spans="1:16" x14ac:dyDescent="0.35">
      <c r="A596" t="s">
        <v>909</v>
      </c>
      <c r="B596" s="1">
        <v>45297</v>
      </c>
      <c r="C596" s="1">
        <v>45304</v>
      </c>
      <c r="D596" t="s">
        <v>59</v>
      </c>
      <c r="E596" t="s">
        <v>455</v>
      </c>
      <c r="F596" t="s">
        <v>27</v>
      </c>
      <c r="G596" t="s">
        <v>72</v>
      </c>
      <c r="H596" t="s">
        <v>62</v>
      </c>
      <c r="I596" t="s">
        <v>22</v>
      </c>
      <c r="J596" t="s">
        <v>23</v>
      </c>
      <c r="K596" t="s">
        <v>24</v>
      </c>
      <c r="L596">
        <v>2</v>
      </c>
      <c r="M596">
        <v>717.97</v>
      </c>
      <c r="N596">
        <v>0.2</v>
      </c>
      <c r="O596">
        <v>1435.94</v>
      </c>
      <c r="P596">
        <v>390.42</v>
      </c>
    </row>
    <row r="597" spans="1:16" x14ac:dyDescent="0.35">
      <c r="A597" t="s">
        <v>910</v>
      </c>
      <c r="B597" s="1">
        <v>44973</v>
      </c>
      <c r="C597" s="1">
        <v>44976</v>
      </c>
      <c r="D597" t="s">
        <v>17</v>
      </c>
      <c r="E597" t="s">
        <v>272</v>
      </c>
      <c r="F597" t="s">
        <v>35</v>
      </c>
      <c r="G597" t="s">
        <v>51</v>
      </c>
      <c r="H597" t="s">
        <v>36</v>
      </c>
      <c r="I597" t="s">
        <v>52</v>
      </c>
      <c r="J597" t="s">
        <v>194</v>
      </c>
      <c r="K597" t="s">
        <v>306</v>
      </c>
      <c r="L597">
        <v>4</v>
      </c>
      <c r="M597">
        <v>152.57</v>
      </c>
      <c r="N597">
        <v>0.3</v>
      </c>
      <c r="O597">
        <v>610.28</v>
      </c>
      <c r="P597">
        <v>31.55</v>
      </c>
    </row>
    <row r="598" spans="1:16" x14ac:dyDescent="0.35">
      <c r="A598" t="s">
        <v>911</v>
      </c>
      <c r="B598" s="1">
        <v>45643</v>
      </c>
      <c r="C598" s="1">
        <v>45649</v>
      </c>
      <c r="D598" t="s">
        <v>65</v>
      </c>
      <c r="E598" t="s">
        <v>60</v>
      </c>
      <c r="F598" t="s">
        <v>19</v>
      </c>
      <c r="G598" t="s">
        <v>132</v>
      </c>
      <c r="H598" t="s">
        <v>129</v>
      </c>
      <c r="I598" t="s">
        <v>30</v>
      </c>
      <c r="J598" t="s">
        <v>99</v>
      </c>
      <c r="K598" t="s">
        <v>208</v>
      </c>
      <c r="L598">
        <v>3</v>
      </c>
      <c r="M598">
        <v>708.23</v>
      </c>
      <c r="N598">
        <v>0</v>
      </c>
      <c r="O598">
        <v>2124.69</v>
      </c>
      <c r="P598">
        <v>357.9</v>
      </c>
    </row>
    <row r="599" spans="1:16" x14ac:dyDescent="0.35">
      <c r="A599" t="s">
        <v>912</v>
      </c>
      <c r="B599" s="1">
        <v>45045</v>
      </c>
      <c r="C599" s="1">
        <v>45052</v>
      </c>
      <c r="D599" t="s">
        <v>44</v>
      </c>
      <c r="E599" t="s">
        <v>913</v>
      </c>
      <c r="F599" t="s">
        <v>35</v>
      </c>
      <c r="G599" t="s">
        <v>67</v>
      </c>
      <c r="H599" t="s">
        <v>36</v>
      </c>
      <c r="I599" t="s">
        <v>22</v>
      </c>
      <c r="J599" t="s">
        <v>37</v>
      </c>
      <c r="K599" t="s">
        <v>144</v>
      </c>
      <c r="L599">
        <v>9</v>
      </c>
      <c r="M599">
        <v>100.29</v>
      </c>
      <c r="N599">
        <v>0.1</v>
      </c>
      <c r="O599">
        <v>902.61</v>
      </c>
      <c r="P599">
        <v>-69.8</v>
      </c>
    </row>
    <row r="600" spans="1:16" x14ac:dyDescent="0.35">
      <c r="A600" t="s">
        <v>914</v>
      </c>
      <c r="B600" s="1">
        <v>45510</v>
      </c>
      <c r="C600" s="1">
        <v>45514</v>
      </c>
      <c r="D600" t="s">
        <v>59</v>
      </c>
      <c r="E600" t="s">
        <v>617</v>
      </c>
      <c r="F600" t="s">
        <v>19</v>
      </c>
      <c r="G600" t="s">
        <v>86</v>
      </c>
      <c r="H600" t="s">
        <v>159</v>
      </c>
      <c r="I600" t="s">
        <v>52</v>
      </c>
      <c r="J600" t="s">
        <v>194</v>
      </c>
      <c r="K600" t="s">
        <v>361</v>
      </c>
      <c r="L600">
        <v>4</v>
      </c>
      <c r="M600">
        <v>67.16</v>
      </c>
      <c r="N600">
        <v>0</v>
      </c>
      <c r="O600">
        <v>268.64</v>
      </c>
      <c r="P600">
        <v>16.98</v>
      </c>
    </row>
    <row r="601" spans="1:16" x14ac:dyDescent="0.35">
      <c r="A601" t="s">
        <v>915</v>
      </c>
      <c r="B601" s="1">
        <v>45402</v>
      </c>
      <c r="C601" s="1">
        <v>45405</v>
      </c>
      <c r="D601" t="s">
        <v>59</v>
      </c>
      <c r="E601" t="s">
        <v>570</v>
      </c>
      <c r="F601" t="s">
        <v>19</v>
      </c>
      <c r="G601" t="s">
        <v>288</v>
      </c>
      <c r="H601" t="s">
        <v>112</v>
      </c>
      <c r="I601" t="s">
        <v>52</v>
      </c>
      <c r="J601" t="s">
        <v>68</v>
      </c>
      <c r="K601" t="s">
        <v>69</v>
      </c>
      <c r="L601">
        <v>8</v>
      </c>
      <c r="M601">
        <v>592.29</v>
      </c>
      <c r="N601">
        <v>0.2</v>
      </c>
      <c r="O601">
        <v>4738.32</v>
      </c>
      <c r="P601">
        <v>1438.75</v>
      </c>
    </row>
    <row r="602" spans="1:16" x14ac:dyDescent="0.35">
      <c r="A602" t="s">
        <v>916</v>
      </c>
      <c r="B602" s="1">
        <v>45324</v>
      </c>
      <c r="C602" s="1">
        <v>45329</v>
      </c>
      <c r="D602" t="s">
        <v>44</v>
      </c>
      <c r="E602" t="s">
        <v>342</v>
      </c>
      <c r="F602" t="s">
        <v>35</v>
      </c>
      <c r="G602" t="s">
        <v>111</v>
      </c>
      <c r="H602" t="s">
        <v>129</v>
      </c>
      <c r="I602" t="s">
        <v>52</v>
      </c>
      <c r="J602" t="s">
        <v>78</v>
      </c>
      <c r="K602" t="s">
        <v>96</v>
      </c>
      <c r="L602">
        <v>10</v>
      </c>
      <c r="M602">
        <v>533.20000000000005</v>
      </c>
      <c r="N602">
        <v>0.2</v>
      </c>
      <c r="O602">
        <v>5332</v>
      </c>
      <c r="P602">
        <v>-442.7</v>
      </c>
    </row>
    <row r="603" spans="1:16" x14ac:dyDescent="0.35">
      <c r="A603" t="s">
        <v>917</v>
      </c>
      <c r="B603" s="1">
        <v>45124</v>
      </c>
      <c r="C603" s="1">
        <v>45129</v>
      </c>
      <c r="D603" t="s">
        <v>59</v>
      </c>
      <c r="E603" t="s">
        <v>173</v>
      </c>
      <c r="F603" t="s">
        <v>35</v>
      </c>
      <c r="G603" t="s">
        <v>86</v>
      </c>
      <c r="H603" t="s">
        <v>29</v>
      </c>
      <c r="I603" t="s">
        <v>22</v>
      </c>
      <c r="J603" t="s">
        <v>37</v>
      </c>
      <c r="K603" t="s">
        <v>144</v>
      </c>
      <c r="L603">
        <v>2</v>
      </c>
      <c r="M603">
        <v>307.82</v>
      </c>
      <c r="N603">
        <v>0</v>
      </c>
      <c r="O603">
        <v>615.64</v>
      </c>
      <c r="P603">
        <v>-48.83</v>
      </c>
    </row>
    <row r="604" spans="1:16" x14ac:dyDescent="0.35">
      <c r="A604" t="s">
        <v>918</v>
      </c>
      <c r="B604" s="1">
        <v>45062</v>
      </c>
      <c r="C604" s="1">
        <v>45068</v>
      </c>
      <c r="D604" t="s">
        <v>59</v>
      </c>
      <c r="E604" t="s">
        <v>34</v>
      </c>
      <c r="F604" t="s">
        <v>27</v>
      </c>
      <c r="G604" t="s">
        <v>28</v>
      </c>
      <c r="H604" t="s">
        <v>159</v>
      </c>
      <c r="I604" t="s">
        <v>52</v>
      </c>
      <c r="J604" t="s">
        <v>53</v>
      </c>
      <c r="K604" t="s">
        <v>91</v>
      </c>
      <c r="L604">
        <v>7</v>
      </c>
      <c r="M604">
        <v>767.17</v>
      </c>
      <c r="N604">
        <v>0.1</v>
      </c>
      <c r="O604">
        <v>5370.19</v>
      </c>
      <c r="P604">
        <v>-128.88999999999999</v>
      </c>
    </row>
    <row r="605" spans="1:16" x14ac:dyDescent="0.35">
      <c r="A605" t="s">
        <v>919</v>
      </c>
      <c r="B605" s="1">
        <v>45285</v>
      </c>
      <c r="C605" s="1">
        <v>45286</v>
      </c>
      <c r="D605" t="s">
        <v>65</v>
      </c>
      <c r="E605" t="s">
        <v>274</v>
      </c>
      <c r="F605" t="s">
        <v>35</v>
      </c>
      <c r="G605" t="s">
        <v>86</v>
      </c>
      <c r="H605" t="s">
        <v>159</v>
      </c>
      <c r="I605" t="s">
        <v>52</v>
      </c>
      <c r="J605" t="s">
        <v>160</v>
      </c>
      <c r="K605" t="s">
        <v>161</v>
      </c>
      <c r="L605">
        <v>4</v>
      </c>
      <c r="M605">
        <v>401.83</v>
      </c>
      <c r="N605">
        <v>0.2</v>
      </c>
      <c r="O605">
        <v>1607.32</v>
      </c>
      <c r="P605">
        <v>-19.71</v>
      </c>
    </row>
    <row r="606" spans="1:16" x14ac:dyDescent="0.35">
      <c r="A606" t="s">
        <v>920</v>
      </c>
      <c r="B606" s="1">
        <v>44930</v>
      </c>
      <c r="C606" s="1">
        <v>44931</v>
      </c>
      <c r="D606" t="s">
        <v>44</v>
      </c>
      <c r="E606" t="s">
        <v>122</v>
      </c>
      <c r="F606" t="s">
        <v>19</v>
      </c>
      <c r="G606" t="s">
        <v>187</v>
      </c>
      <c r="H606" t="s">
        <v>29</v>
      </c>
      <c r="I606" t="s">
        <v>22</v>
      </c>
      <c r="J606" t="s">
        <v>23</v>
      </c>
      <c r="K606" t="s">
        <v>178</v>
      </c>
      <c r="L606">
        <v>3</v>
      </c>
      <c r="M606">
        <v>172.67</v>
      </c>
      <c r="N606">
        <v>0.1</v>
      </c>
      <c r="O606">
        <v>518.01</v>
      </c>
      <c r="P606">
        <v>-40.97</v>
      </c>
    </row>
    <row r="607" spans="1:16" x14ac:dyDescent="0.35">
      <c r="A607" t="s">
        <v>921</v>
      </c>
      <c r="B607" s="1">
        <v>45120</v>
      </c>
      <c r="C607" s="1">
        <v>45122</v>
      </c>
      <c r="D607" t="s">
        <v>65</v>
      </c>
      <c r="E607" t="s">
        <v>410</v>
      </c>
      <c r="F607" t="s">
        <v>19</v>
      </c>
      <c r="G607" t="s">
        <v>107</v>
      </c>
      <c r="H607" t="s">
        <v>123</v>
      </c>
      <c r="I607" t="s">
        <v>30</v>
      </c>
      <c r="J607" t="s">
        <v>31</v>
      </c>
      <c r="K607" t="s">
        <v>57</v>
      </c>
      <c r="L607">
        <v>7</v>
      </c>
      <c r="M607">
        <v>108.84</v>
      </c>
      <c r="N607">
        <v>0.1</v>
      </c>
      <c r="O607">
        <v>761.88</v>
      </c>
      <c r="P607">
        <v>-98.74</v>
      </c>
    </row>
    <row r="608" spans="1:16" x14ac:dyDescent="0.35">
      <c r="A608" t="s">
        <v>922</v>
      </c>
      <c r="B608" s="1">
        <v>45126</v>
      </c>
      <c r="C608" s="1">
        <v>45132</v>
      </c>
      <c r="D608" t="s">
        <v>59</v>
      </c>
      <c r="E608" t="s">
        <v>435</v>
      </c>
      <c r="F608" t="s">
        <v>27</v>
      </c>
      <c r="G608" t="s">
        <v>61</v>
      </c>
      <c r="H608" t="s">
        <v>73</v>
      </c>
      <c r="I608" t="s">
        <v>30</v>
      </c>
      <c r="J608" t="s">
        <v>47</v>
      </c>
      <c r="K608" t="s">
        <v>48</v>
      </c>
      <c r="L608">
        <v>8</v>
      </c>
      <c r="M608">
        <v>590.9</v>
      </c>
      <c r="N608">
        <v>0.15</v>
      </c>
      <c r="O608">
        <v>4727.2</v>
      </c>
      <c r="P608">
        <v>-383.94</v>
      </c>
    </row>
    <row r="609" spans="1:16" x14ac:dyDescent="0.35">
      <c r="A609" t="s">
        <v>923</v>
      </c>
      <c r="B609" s="1">
        <v>45524</v>
      </c>
      <c r="C609" s="1">
        <v>45525</v>
      </c>
      <c r="D609" t="s">
        <v>65</v>
      </c>
      <c r="E609" t="s">
        <v>924</v>
      </c>
      <c r="F609" t="s">
        <v>19</v>
      </c>
      <c r="G609" t="s">
        <v>51</v>
      </c>
      <c r="H609" t="s">
        <v>21</v>
      </c>
      <c r="I609" t="s">
        <v>52</v>
      </c>
      <c r="J609" t="s">
        <v>68</v>
      </c>
      <c r="K609" t="s">
        <v>216</v>
      </c>
      <c r="L609">
        <v>1</v>
      </c>
      <c r="M609">
        <v>596.80999999999995</v>
      </c>
      <c r="N609">
        <v>0</v>
      </c>
      <c r="O609">
        <v>596.80999999999995</v>
      </c>
      <c r="P609">
        <v>-19.510000000000002</v>
      </c>
    </row>
    <row r="610" spans="1:16" x14ac:dyDescent="0.35">
      <c r="A610" t="s">
        <v>925</v>
      </c>
      <c r="B610" s="1">
        <v>45167</v>
      </c>
      <c r="C610" s="1">
        <v>45168</v>
      </c>
      <c r="D610" t="s">
        <v>59</v>
      </c>
      <c r="E610" t="s">
        <v>122</v>
      </c>
      <c r="F610" t="s">
        <v>35</v>
      </c>
      <c r="G610" t="s">
        <v>132</v>
      </c>
      <c r="H610" t="s">
        <v>129</v>
      </c>
      <c r="I610" t="s">
        <v>30</v>
      </c>
      <c r="J610" t="s">
        <v>31</v>
      </c>
      <c r="K610" t="s">
        <v>57</v>
      </c>
      <c r="L610">
        <v>8</v>
      </c>
      <c r="M610">
        <v>671.99</v>
      </c>
      <c r="N610">
        <v>0</v>
      </c>
      <c r="O610">
        <v>5375.92</v>
      </c>
      <c r="P610">
        <v>-530.49</v>
      </c>
    </row>
    <row r="611" spans="1:16" x14ac:dyDescent="0.35">
      <c r="A611" t="s">
        <v>926</v>
      </c>
      <c r="B611" s="1">
        <v>45635</v>
      </c>
      <c r="C611" s="1">
        <v>45637</v>
      </c>
      <c r="D611" t="s">
        <v>44</v>
      </c>
      <c r="E611" t="s">
        <v>316</v>
      </c>
      <c r="F611" t="s">
        <v>19</v>
      </c>
      <c r="G611" t="s">
        <v>28</v>
      </c>
      <c r="H611" t="s">
        <v>29</v>
      </c>
      <c r="I611" t="s">
        <v>22</v>
      </c>
      <c r="J611" t="s">
        <v>37</v>
      </c>
      <c r="K611" t="s">
        <v>38</v>
      </c>
      <c r="L611">
        <v>7</v>
      </c>
      <c r="M611">
        <v>748.25</v>
      </c>
      <c r="N611">
        <v>0.1</v>
      </c>
      <c r="O611">
        <v>5237.75</v>
      </c>
      <c r="P611">
        <v>-327.3</v>
      </c>
    </row>
    <row r="612" spans="1:16" x14ac:dyDescent="0.35">
      <c r="A612" t="s">
        <v>927</v>
      </c>
      <c r="B612" s="1">
        <v>45591</v>
      </c>
      <c r="C612" s="1">
        <v>45596</v>
      </c>
      <c r="D612" t="s">
        <v>17</v>
      </c>
      <c r="E612" t="s">
        <v>576</v>
      </c>
      <c r="F612" t="s">
        <v>27</v>
      </c>
      <c r="G612" t="s">
        <v>181</v>
      </c>
      <c r="H612" t="s">
        <v>46</v>
      </c>
      <c r="I612" t="s">
        <v>30</v>
      </c>
      <c r="J612" t="s">
        <v>99</v>
      </c>
      <c r="K612" t="s">
        <v>247</v>
      </c>
      <c r="L612">
        <v>7</v>
      </c>
      <c r="M612">
        <v>9.73</v>
      </c>
      <c r="N612">
        <v>0.15</v>
      </c>
      <c r="O612">
        <v>68.11</v>
      </c>
      <c r="P612">
        <v>19.579999999999998</v>
      </c>
    </row>
    <row r="613" spans="1:16" x14ac:dyDescent="0.35">
      <c r="A613" t="s">
        <v>928</v>
      </c>
      <c r="B613" s="1">
        <v>45575</v>
      </c>
      <c r="C613" s="1">
        <v>45576</v>
      </c>
      <c r="D613" t="s">
        <v>17</v>
      </c>
      <c r="E613" t="s">
        <v>873</v>
      </c>
      <c r="F613" t="s">
        <v>19</v>
      </c>
      <c r="G613" t="s">
        <v>332</v>
      </c>
      <c r="H613" t="s">
        <v>83</v>
      </c>
      <c r="I613" t="s">
        <v>52</v>
      </c>
      <c r="J613" t="s">
        <v>53</v>
      </c>
      <c r="K613" t="s">
        <v>54</v>
      </c>
      <c r="L613">
        <v>5</v>
      </c>
      <c r="M613">
        <v>629.76</v>
      </c>
      <c r="N613">
        <v>0.15</v>
      </c>
      <c r="O613">
        <v>3148.8</v>
      </c>
      <c r="P613">
        <v>381.69</v>
      </c>
    </row>
    <row r="614" spans="1:16" x14ac:dyDescent="0.35">
      <c r="A614" t="s">
        <v>456</v>
      </c>
      <c r="B614" s="1">
        <v>45374</v>
      </c>
      <c r="C614" s="1">
        <v>45376</v>
      </c>
      <c r="D614" t="s">
        <v>59</v>
      </c>
      <c r="E614" t="s">
        <v>457</v>
      </c>
      <c r="F614" t="s">
        <v>27</v>
      </c>
      <c r="G614" t="s">
        <v>107</v>
      </c>
      <c r="H614" t="s">
        <v>83</v>
      </c>
      <c r="I614" t="s">
        <v>52</v>
      </c>
      <c r="J614" t="s">
        <v>78</v>
      </c>
      <c r="K614" t="s">
        <v>96</v>
      </c>
      <c r="L614">
        <v>10</v>
      </c>
      <c r="M614">
        <v>165.92</v>
      </c>
      <c r="N614">
        <v>0.15</v>
      </c>
      <c r="O614">
        <v>1659.2</v>
      </c>
      <c r="P614">
        <v>102.97</v>
      </c>
    </row>
    <row r="615" spans="1:16" x14ac:dyDescent="0.35">
      <c r="A615" t="s">
        <v>929</v>
      </c>
      <c r="B615" s="1">
        <v>44943</v>
      </c>
      <c r="C615" s="1">
        <v>44946</v>
      </c>
      <c r="D615" t="s">
        <v>44</v>
      </c>
      <c r="E615" t="s">
        <v>450</v>
      </c>
      <c r="F615" t="s">
        <v>19</v>
      </c>
      <c r="H615" t="s">
        <v>21</v>
      </c>
      <c r="I615" t="s">
        <v>30</v>
      </c>
      <c r="J615" t="s">
        <v>99</v>
      </c>
      <c r="K615" t="s">
        <v>100</v>
      </c>
      <c r="L615">
        <v>3</v>
      </c>
      <c r="M615">
        <v>130.5</v>
      </c>
      <c r="N615">
        <v>0.1</v>
      </c>
      <c r="O615">
        <v>391.5</v>
      </c>
      <c r="P615">
        <v>90.49</v>
      </c>
    </row>
    <row r="616" spans="1:16" x14ac:dyDescent="0.35">
      <c r="A616" t="s">
        <v>930</v>
      </c>
      <c r="B616" s="1">
        <v>45617</v>
      </c>
      <c r="C616" s="1">
        <v>45622</v>
      </c>
      <c r="D616" t="s">
        <v>17</v>
      </c>
      <c r="E616" t="s">
        <v>408</v>
      </c>
      <c r="F616" t="s">
        <v>35</v>
      </c>
      <c r="G616" t="s">
        <v>86</v>
      </c>
      <c r="H616" t="s">
        <v>29</v>
      </c>
      <c r="I616" t="s">
        <v>52</v>
      </c>
      <c r="J616" t="s">
        <v>68</v>
      </c>
      <c r="K616" t="s">
        <v>69</v>
      </c>
      <c r="L616">
        <v>7</v>
      </c>
      <c r="M616">
        <v>457</v>
      </c>
      <c r="N616">
        <v>0</v>
      </c>
      <c r="O616">
        <v>3199</v>
      </c>
      <c r="P616">
        <v>441.48</v>
      </c>
    </row>
    <row r="617" spans="1:16" x14ac:dyDescent="0.35">
      <c r="A617" t="s">
        <v>931</v>
      </c>
      <c r="B617" s="1">
        <v>45339</v>
      </c>
      <c r="C617" s="1">
        <v>45343</v>
      </c>
      <c r="D617" t="s">
        <v>59</v>
      </c>
      <c r="E617" t="s">
        <v>523</v>
      </c>
      <c r="F617" t="s">
        <v>27</v>
      </c>
      <c r="G617" t="s">
        <v>132</v>
      </c>
      <c r="H617" t="s">
        <v>112</v>
      </c>
      <c r="I617" t="s">
        <v>30</v>
      </c>
      <c r="J617" t="s">
        <v>31</v>
      </c>
      <c r="K617" t="s">
        <v>57</v>
      </c>
      <c r="L617">
        <v>6</v>
      </c>
      <c r="M617">
        <v>346.4</v>
      </c>
      <c r="N617">
        <v>0.3</v>
      </c>
      <c r="O617">
        <v>2078.4</v>
      </c>
      <c r="P617">
        <v>345.22</v>
      </c>
    </row>
    <row r="618" spans="1:16" x14ac:dyDescent="0.35">
      <c r="A618" t="s">
        <v>932</v>
      </c>
      <c r="B618" s="1">
        <v>45172</v>
      </c>
      <c r="C618" s="1">
        <v>45173</v>
      </c>
      <c r="D618" t="s">
        <v>17</v>
      </c>
      <c r="E618" t="s">
        <v>406</v>
      </c>
      <c r="F618" t="s">
        <v>19</v>
      </c>
      <c r="G618" t="s">
        <v>103</v>
      </c>
      <c r="H618" t="s">
        <v>73</v>
      </c>
      <c r="I618" t="s">
        <v>22</v>
      </c>
      <c r="J618" t="s">
        <v>23</v>
      </c>
      <c r="K618" t="s">
        <v>24</v>
      </c>
      <c r="L618">
        <v>4</v>
      </c>
      <c r="M618">
        <v>683.88</v>
      </c>
      <c r="N618">
        <v>0</v>
      </c>
      <c r="O618">
        <v>2735.52</v>
      </c>
      <c r="P618">
        <v>895.09</v>
      </c>
    </row>
    <row r="619" spans="1:16" x14ac:dyDescent="0.35">
      <c r="A619" t="s">
        <v>933</v>
      </c>
      <c r="B619" s="1">
        <v>45645</v>
      </c>
      <c r="C619" s="1">
        <v>45650</v>
      </c>
      <c r="D619" t="s">
        <v>17</v>
      </c>
      <c r="E619" t="s">
        <v>98</v>
      </c>
      <c r="F619" t="s">
        <v>19</v>
      </c>
      <c r="G619" t="s">
        <v>288</v>
      </c>
      <c r="H619" t="s">
        <v>112</v>
      </c>
      <c r="I619" t="s">
        <v>22</v>
      </c>
      <c r="J619" t="s">
        <v>74</v>
      </c>
      <c r="K619" t="s">
        <v>253</v>
      </c>
      <c r="L619">
        <v>12</v>
      </c>
      <c r="M619">
        <v>328.8</v>
      </c>
      <c r="N619">
        <v>0.15</v>
      </c>
      <c r="O619">
        <v>3945.6</v>
      </c>
      <c r="P619">
        <v>-370.47</v>
      </c>
    </row>
    <row r="620" spans="1:16" x14ac:dyDescent="0.35">
      <c r="A620" t="s">
        <v>934</v>
      </c>
      <c r="B620" s="1">
        <v>45225</v>
      </c>
      <c r="C620" s="1">
        <v>45228</v>
      </c>
      <c r="D620" t="s">
        <v>17</v>
      </c>
      <c r="E620" t="s">
        <v>381</v>
      </c>
      <c r="F620" t="s">
        <v>35</v>
      </c>
      <c r="G620" t="s">
        <v>51</v>
      </c>
      <c r="H620" t="s">
        <v>36</v>
      </c>
      <c r="I620" t="s">
        <v>52</v>
      </c>
      <c r="J620" t="s">
        <v>78</v>
      </c>
      <c r="K620" t="s">
        <v>79</v>
      </c>
      <c r="L620">
        <v>4</v>
      </c>
      <c r="M620">
        <v>126.82</v>
      </c>
      <c r="N620">
        <v>0.3</v>
      </c>
      <c r="O620">
        <v>507.28</v>
      </c>
      <c r="P620">
        <v>72.209999999999994</v>
      </c>
    </row>
    <row r="621" spans="1:16" x14ac:dyDescent="0.35">
      <c r="A621" t="s">
        <v>935</v>
      </c>
      <c r="B621" s="1">
        <v>45334</v>
      </c>
      <c r="C621" s="1">
        <v>45338</v>
      </c>
      <c r="D621" t="s">
        <v>59</v>
      </c>
      <c r="E621" t="s">
        <v>442</v>
      </c>
      <c r="F621" t="s">
        <v>27</v>
      </c>
      <c r="G621" t="s">
        <v>128</v>
      </c>
      <c r="H621" t="s">
        <v>112</v>
      </c>
      <c r="I621" t="s">
        <v>22</v>
      </c>
      <c r="J621" t="s">
        <v>37</v>
      </c>
      <c r="K621" t="s">
        <v>38</v>
      </c>
      <c r="L621">
        <v>6</v>
      </c>
      <c r="M621">
        <v>171.99</v>
      </c>
      <c r="N621">
        <v>0</v>
      </c>
      <c r="O621">
        <v>1031.94</v>
      </c>
      <c r="P621">
        <v>-18.940000000000001</v>
      </c>
    </row>
    <row r="622" spans="1:16" x14ac:dyDescent="0.35">
      <c r="A622" t="s">
        <v>936</v>
      </c>
      <c r="B622" s="1">
        <v>45063</v>
      </c>
      <c r="C622" s="1">
        <v>45069</v>
      </c>
      <c r="D622" t="s">
        <v>17</v>
      </c>
      <c r="E622" t="s">
        <v>233</v>
      </c>
      <c r="F622" t="s">
        <v>35</v>
      </c>
      <c r="G622" t="s">
        <v>72</v>
      </c>
      <c r="H622" t="s">
        <v>73</v>
      </c>
      <c r="I622" t="s">
        <v>52</v>
      </c>
      <c r="J622" t="s">
        <v>78</v>
      </c>
      <c r="K622" t="s">
        <v>79</v>
      </c>
      <c r="L622">
        <v>4</v>
      </c>
      <c r="M622">
        <v>669.23</v>
      </c>
      <c r="N622">
        <v>0.1</v>
      </c>
      <c r="O622">
        <v>2676.92</v>
      </c>
      <c r="P622">
        <v>687.75</v>
      </c>
    </row>
    <row r="623" spans="1:16" x14ac:dyDescent="0.35">
      <c r="A623" t="s">
        <v>937</v>
      </c>
      <c r="B623" s="1">
        <v>45434</v>
      </c>
      <c r="C623" s="1">
        <v>45439</v>
      </c>
      <c r="D623" t="s">
        <v>44</v>
      </c>
      <c r="E623" t="s">
        <v>631</v>
      </c>
      <c r="F623" t="s">
        <v>19</v>
      </c>
      <c r="G623" t="s">
        <v>103</v>
      </c>
      <c r="H623" t="s">
        <v>73</v>
      </c>
      <c r="I623" t="s">
        <v>52</v>
      </c>
      <c r="J623" t="s">
        <v>53</v>
      </c>
      <c r="K623" t="s">
        <v>91</v>
      </c>
      <c r="L623">
        <v>12</v>
      </c>
      <c r="M623">
        <v>400.02</v>
      </c>
      <c r="N623">
        <v>0</v>
      </c>
      <c r="O623">
        <v>4800.24</v>
      </c>
      <c r="P623">
        <v>1655.54</v>
      </c>
    </row>
    <row r="624" spans="1:16" x14ac:dyDescent="0.35">
      <c r="A624" t="s">
        <v>938</v>
      </c>
      <c r="B624" s="1">
        <v>45628</v>
      </c>
      <c r="C624" s="1">
        <v>45632</v>
      </c>
      <c r="D624" t="s">
        <v>59</v>
      </c>
      <c r="E624" t="s">
        <v>312</v>
      </c>
      <c r="F624" t="s">
        <v>19</v>
      </c>
      <c r="G624" t="s">
        <v>132</v>
      </c>
      <c r="H624" t="s">
        <v>129</v>
      </c>
      <c r="I624" t="s">
        <v>30</v>
      </c>
      <c r="J624" t="s">
        <v>41</v>
      </c>
      <c r="K624" t="s">
        <v>42</v>
      </c>
      <c r="L624">
        <v>1</v>
      </c>
      <c r="M624">
        <v>250.99</v>
      </c>
      <c r="N624">
        <v>0.15</v>
      </c>
      <c r="O624">
        <v>250.99</v>
      </c>
      <c r="P624">
        <v>-1.42</v>
      </c>
    </row>
    <row r="625" spans="1:16" x14ac:dyDescent="0.35">
      <c r="A625" t="s">
        <v>939</v>
      </c>
      <c r="B625" s="1">
        <v>45257</v>
      </c>
      <c r="C625" s="1">
        <v>45258</v>
      </c>
      <c r="D625" t="s">
        <v>65</v>
      </c>
      <c r="E625" t="s">
        <v>784</v>
      </c>
      <c r="F625" t="s">
        <v>35</v>
      </c>
      <c r="G625" t="s">
        <v>187</v>
      </c>
      <c r="H625" t="s">
        <v>29</v>
      </c>
      <c r="I625" t="s">
        <v>22</v>
      </c>
      <c r="J625" t="s">
        <v>74</v>
      </c>
      <c r="K625" t="s">
        <v>165</v>
      </c>
      <c r="L625">
        <v>5</v>
      </c>
      <c r="M625">
        <v>895.46</v>
      </c>
      <c r="N625">
        <v>0</v>
      </c>
      <c r="O625">
        <v>4477.3</v>
      </c>
      <c r="P625">
        <v>339.69</v>
      </c>
    </row>
    <row r="626" spans="1:16" x14ac:dyDescent="0.35">
      <c r="A626" t="s">
        <v>940</v>
      </c>
      <c r="B626" s="1">
        <v>45601</v>
      </c>
      <c r="C626" s="1">
        <v>45602</v>
      </c>
      <c r="D626" t="s">
        <v>65</v>
      </c>
      <c r="E626" t="s">
        <v>941</v>
      </c>
      <c r="F626" t="s">
        <v>35</v>
      </c>
      <c r="G626" t="s">
        <v>211</v>
      </c>
      <c r="H626" t="s">
        <v>159</v>
      </c>
      <c r="I626" t="s">
        <v>22</v>
      </c>
      <c r="J626" t="s">
        <v>37</v>
      </c>
      <c r="K626" t="s">
        <v>144</v>
      </c>
      <c r="L626">
        <v>3</v>
      </c>
      <c r="M626">
        <v>519.70000000000005</v>
      </c>
      <c r="N626">
        <v>0.2</v>
      </c>
      <c r="O626">
        <v>1559.1</v>
      </c>
      <c r="P626">
        <v>-108.19</v>
      </c>
    </row>
    <row r="627" spans="1:16" x14ac:dyDescent="0.35">
      <c r="A627" t="s">
        <v>942</v>
      </c>
      <c r="B627" s="1">
        <v>45317</v>
      </c>
      <c r="C627" s="1">
        <v>45323</v>
      </c>
      <c r="D627" t="s">
        <v>17</v>
      </c>
      <c r="E627" t="s">
        <v>180</v>
      </c>
      <c r="F627" t="s">
        <v>19</v>
      </c>
      <c r="G627" t="s">
        <v>187</v>
      </c>
      <c r="H627" t="s">
        <v>29</v>
      </c>
      <c r="I627" t="s">
        <v>30</v>
      </c>
      <c r="J627" t="s">
        <v>47</v>
      </c>
      <c r="K627" t="s">
        <v>48</v>
      </c>
      <c r="L627">
        <v>9</v>
      </c>
      <c r="M627">
        <v>187.37</v>
      </c>
      <c r="N627">
        <v>0.2</v>
      </c>
      <c r="O627">
        <v>1686.33</v>
      </c>
      <c r="P627">
        <v>364.82</v>
      </c>
    </row>
    <row r="628" spans="1:16" x14ac:dyDescent="0.35">
      <c r="A628" t="s">
        <v>943</v>
      </c>
      <c r="B628" s="1">
        <v>45213</v>
      </c>
      <c r="C628" s="1">
        <v>45218</v>
      </c>
      <c r="D628" t="s">
        <v>65</v>
      </c>
      <c r="E628" t="s">
        <v>640</v>
      </c>
      <c r="F628" t="s">
        <v>35</v>
      </c>
      <c r="G628" t="s">
        <v>86</v>
      </c>
      <c r="H628" t="s">
        <v>29</v>
      </c>
      <c r="I628" t="s">
        <v>52</v>
      </c>
      <c r="J628" t="s">
        <v>68</v>
      </c>
      <c r="K628" t="s">
        <v>69</v>
      </c>
      <c r="L628">
        <v>8</v>
      </c>
      <c r="M628">
        <v>536.27</v>
      </c>
      <c r="N628">
        <v>0</v>
      </c>
      <c r="O628">
        <v>4290.16</v>
      </c>
      <c r="P628">
        <v>-342.45</v>
      </c>
    </row>
    <row r="629" spans="1:16" x14ac:dyDescent="0.35">
      <c r="A629" t="s">
        <v>944</v>
      </c>
      <c r="B629" s="1">
        <v>45055</v>
      </c>
      <c r="C629" s="1">
        <v>45056</v>
      </c>
      <c r="D629" t="s">
        <v>44</v>
      </c>
      <c r="E629" t="s">
        <v>255</v>
      </c>
      <c r="F629" t="s">
        <v>35</v>
      </c>
      <c r="G629" t="s">
        <v>20</v>
      </c>
      <c r="H629" t="s">
        <v>21</v>
      </c>
      <c r="I629" t="s">
        <v>52</v>
      </c>
      <c r="J629" t="s">
        <v>160</v>
      </c>
      <c r="K629" t="s">
        <v>634</v>
      </c>
      <c r="L629">
        <v>9</v>
      </c>
      <c r="M629">
        <v>442.26</v>
      </c>
      <c r="N629">
        <v>0.15</v>
      </c>
      <c r="O629">
        <v>3980.34</v>
      </c>
      <c r="P629">
        <v>1069.01</v>
      </c>
    </row>
    <row r="630" spans="1:16" x14ac:dyDescent="0.35">
      <c r="A630" t="s">
        <v>945</v>
      </c>
      <c r="B630" s="1">
        <v>45503</v>
      </c>
      <c r="C630" s="1">
        <v>45507</v>
      </c>
      <c r="D630" t="s">
        <v>65</v>
      </c>
      <c r="E630" t="s">
        <v>693</v>
      </c>
      <c r="F630" t="s">
        <v>35</v>
      </c>
      <c r="G630" t="s">
        <v>82</v>
      </c>
      <c r="H630" t="s">
        <v>83</v>
      </c>
      <c r="I630" t="s">
        <v>30</v>
      </c>
      <c r="J630" t="s">
        <v>31</v>
      </c>
      <c r="K630" t="s">
        <v>32</v>
      </c>
      <c r="L630">
        <v>2</v>
      </c>
      <c r="M630">
        <v>478.67</v>
      </c>
      <c r="N630">
        <v>0.1</v>
      </c>
      <c r="O630">
        <v>957.34</v>
      </c>
      <c r="P630">
        <v>144.85</v>
      </c>
    </row>
    <row r="631" spans="1:16" x14ac:dyDescent="0.35">
      <c r="A631" t="s">
        <v>946</v>
      </c>
      <c r="B631" s="1">
        <v>45229</v>
      </c>
      <c r="C631" s="1">
        <v>45230</v>
      </c>
      <c r="D631" t="s">
        <v>65</v>
      </c>
      <c r="E631" t="s">
        <v>637</v>
      </c>
      <c r="F631" t="s">
        <v>27</v>
      </c>
      <c r="G631" t="s">
        <v>211</v>
      </c>
      <c r="H631" t="s">
        <v>159</v>
      </c>
      <c r="I631" t="s">
        <v>30</v>
      </c>
      <c r="J631" t="s">
        <v>47</v>
      </c>
      <c r="K631" t="s">
        <v>63</v>
      </c>
      <c r="L631">
        <v>6</v>
      </c>
      <c r="M631">
        <v>597.12</v>
      </c>
      <c r="N631">
        <v>0</v>
      </c>
      <c r="O631">
        <v>3582.72</v>
      </c>
      <c r="P631">
        <v>712.64</v>
      </c>
    </row>
    <row r="632" spans="1:16" x14ac:dyDescent="0.35">
      <c r="A632" t="s">
        <v>947</v>
      </c>
      <c r="B632" s="1">
        <v>45177</v>
      </c>
      <c r="C632" s="1">
        <v>45178</v>
      </c>
      <c r="D632" t="s">
        <v>17</v>
      </c>
      <c r="E632" t="s">
        <v>435</v>
      </c>
      <c r="F632" t="s">
        <v>19</v>
      </c>
      <c r="G632" t="s">
        <v>72</v>
      </c>
      <c r="H632" t="s">
        <v>62</v>
      </c>
      <c r="I632" t="s">
        <v>30</v>
      </c>
      <c r="J632" t="s">
        <v>47</v>
      </c>
      <c r="K632" t="s">
        <v>94</v>
      </c>
      <c r="L632">
        <v>3</v>
      </c>
      <c r="M632">
        <v>767.09</v>
      </c>
      <c r="N632">
        <v>0.15</v>
      </c>
      <c r="O632">
        <v>2301.27</v>
      </c>
      <c r="P632">
        <v>674.08</v>
      </c>
    </row>
    <row r="633" spans="1:16" x14ac:dyDescent="0.35">
      <c r="A633" t="s">
        <v>948</v>
      </c>
      <c r="B633" s="1">
        <v>45181</v>
      </c>
      <c r="C633" s="1">
        <v>45188</v>
      </c>
      <c r="D633" t="s">
        <v>17</v>
      </c>
      <c r="E633" t="s">
        <v>285</v>
      </c>
      <c r="F633" t="s">
        <v>19</v>
      </c>
      <c r="G633" t="s">
        <v>132</v>
      </c>
      <c r="H633" t="s">
        <v>129</v>
      </c>
      <c r="I633" t="s">
        <v>30</v>
      </c>
      <c r="J633" t="s">
        <v>47</v>
      </c>
      <c r="K633" t="s">
        <v>63</v>
      </c>
      <c r="L633">
        <v>3</v>
      </c>
      <c r="M633">
        <v>509.7</v>
      </c>
      <c r="N633">
        <v>0.2</v>
      </c>
      <c r="O633">
        <v>1529.1</v>
      </c>
      <c r="P633">
        <v>440.33</v>
      </c>
    </row>
    <row r="634" spans="1:16" x14ac:dyDescent="0.35">
      <c r="A634" t="s">
        <v>949</v>
      </c>
      <c r="B634" s="1">
        <v>45338</v>
      </c>
      <c r="C634" s="1">
        <v>45344</v>
      </c>
      <c r="D634" t="s">
        <v>59</v>
      </c>
      <c r="E634" t="s">
        <v>651</v>
      </c>
      <c r="F634" t="s">
        <v>19</v>
      </c>
      <c r="G634" t="s">
        <v>28</v>
      </c>
      <c r="H634" t="s">
        <v>159</v>
      </c>
      <c r="I634" t="s">
        <v>22</v>
      </c>
      <c r="J634" t="s">
        <v>115</v>
      </c>
      <c r="K634" t="s">
        <v>116</v>
      </c>
      <c r="L634">
        <v>8</v>
      </c>
      <c r="M634">
        <v>558.41999999999996</v>
      </c>
      <c r="N634">
        <v>0.2</v>
      </c>
      <c r="O634">
        <v>4467.3599999999997</v>
      </c>
      <c r="P634">
        <v>1272.8699999999999</v>
      </c>
    </row>
    <row r="635" spans="1:16" x14ac:dyDescent="0.35">
      <c r="A635" t="s">
        <v>950</v>
      </c>
      <c r="B635" s="1">
        <v>45326</v>
      </c>
      <c r="C635" s="1">
        <v>45329</v>
      </c>
      <c r="D635" t="s">
        <v>17</v>
      </c>
      <c r="E635" t="s">
        <v>951</v>
      </c>
      <c r="F635" t="s">
        <v>27</v>
      </c>
      <c r="G635" t="s">
        <v>288</v>
      </c>
      <c r="H635" t="s">
        <v>129</v>
      </c>
      <c r="I635" t="s">
        <v>52</v>
      </c>
      <c r="J635" t="s">
        <v>68</v>
      </c>
      <c r="K635" t="s">
        <v>69</v>
      </c>
      <c r="L635">
        <v>4</v>
      </c>
      <c r="M635">
        <v>650.41</v>
      </c>
      <c r="N635">
        <v>0</v>
      </c>
      <c r="O635">
        <v>2601.64</v>
      </c>
      <c r="P635">
        <v>51.94</v>
      </c>
    </row>
    <row r="636" spans="1:16" x14ac:dyDescent="0.35">
      <c r="A636" t="s">
        <v>680</v>
      </c>
      <c r="B636" s="1">
        <v>45494</v>
      </c>
      <c r="C636" s="1">
        <v>45496</v>
      </c>
      <c r="D636" t="s">
        <v>65</v>
      </c>
      <c r="E636" t="s">
        <v>681</v>
      </c>
      <c r="F636" t="s">
        <v>35</v>
      </c>
      <c r="G636" t="s">
        <v>128</v>
      </c>
      <c r="H636" t="s">
        <v>129</v>
      </c>
      <c r="I636" t="s">
        <v>30</v>
      </c>
      <c r="J636" t="s">
        <v>47</v>
      </c>
      <c r="K636" t="s">
        <v>94</v>
      </c>
      <c r="L636">
        <v>12</v>
      </c>
      <c r="M636">
        <v>183.7</v>
      </c>
      <c r="N636">
        <v>0.2</v>
      </c>
      <c r="O636">
        <v>2204.4</v>
      </c>
      <c r="P636">
        <v>-63.87</v>
      </c>
    </row>
    <row r="637" spans="1:16" x14ac:dyDescent="0.35">
      <c r="A637" t="s">
        <v>952</v>
      </c>
      <c r="B637" s="1">
        <v>45617</v>
      </c>
      <c r="C637" s="1">
        <v>45624</v>
      </c>
      <c r="D637" t="s">
        <v>65</v>
      </c>
      <c r="E637" t="s">
        <v>135</v>
      </c>
      <c r="F637" t="s">
        <v>19</v>
      </c>
      <c r="G637" t="s">
        <v>111</v>
      </c>
      <c r="H637" t="s">
        <v>112</v>
      </c>
      <c r="I637" t="s">
        <v>52</v>
      </c>
      <c r="J637" t="s">
        <v>53</v>
      </c>
      <c r="K637" t="s">
        <v>91</v>
      </c>
      <c r="L637">
        <v>10</v>
      </c>
      <c r="M637">
        <v>239.88</v>
      </c>
      <c r="N637">
        <v>0.3</v>
      </c>
      <c r="O637">
        <v>2398.8000000000002</v>
      </c>
      <c r="P637">
        <v>22.87</v>
      </c>
    </row>
    <row r="638" spans="1:16" x14ac:dyDescent="0.35">
      <c r="A638" t="s">
        <v>953</v>
      </c>
      <c r="B638" s="1">
        <v>45372</v>
      </c>
      <c r="C638" s="1">
        <v>45378</v>
      </c>
      <c r="D638" t="s">
        <v>59</v>
      </c>
      <c r="E638" t="s">
        <v>954</v>
      </c>
      <c r="F638" t="s">
        <v>35</v>
      </c>
      <c r="G638" t="s">
        <v>107</v>
      </c>
      <c r="H638" t="s">
        <v>46</v>
      </c>
      <c r="I638" t="s">
        <v>52</v>
      </c>
      <c r="J638" t="s">
        <v>68</v>
      </c>
      <c r="K638" t="s">
        <v>69</v>
      </c>
      <c r="L638">
        <v>11</v>
      </c>
      <c r="M638">
        <v>115.17</v>
      </c>
      <c r="O638">
        <v>1266.8699999999999</v>
      </c>
      <c r="P638">
        <v>394.46</v>
      </c>
    </row>
    <row r="639" spans="1:16" x14ac:dyDescent="0.35">
      <c r="A639" t="s">
        <v>955</v>
      </c>
      <c r="B639" s="1">
        <v>45158</v>
      </c>
      <c r="C639" s="1">
        <v>45161</v>
      </c>
      <c r="E639" t="s">
        <v>437</v>
      </c>
      <c r="F639" t="s">
        <v>19</v>
      </c>
      <c r="G639" t="s">
        <v>86</v>
      </c>
      <c r="I639" t="s">
        <v>22</v>
      </c>
      <c r="J639" t="s">
        <v>37</v>
      </c>
      <c r="K639" t="s">
        <v>144</v>
      </c>
      <c r="L639">
        <v>7</v>
      </c>
      <c r="M639">
        <v>340.42</v>
      </c>
      <c r="N639">
        <v>0</v>
      </c>
      <c r="O639">
        <v>2382.94</v>
      </c>
      <c r="P639">
        <v>332.86</v>
      </c>
    </row>
    <row r="640" spans="1:16" x14ac:dyDescent="0.35">
      <c r="A640" t="s">
        <v>956</v>
      </c>
      <c r="B640" s="1">
        <v>45646</v>
      </c>
      <c r="C640" s="1">
        <v>45652</v>
      </c>
      <c r="D640" t="s">
        <v>59</v>
      </c>
      <c r="E640" t="s">
        <v>807</v>
      </c>
      <c r="F640" t="s">
        <v>35</v>
      </c>
      <c r="G640" t="s">
        <v>111</v>
      </c>
      <c r="H640" t="s">
        <v>129</v>
      </c>
      <c r="I640" t="s">
        <v>52</v>
      </c>
      <c r="J640" t="s">
        <v>160</v>
      </c>
      <c r="K640" t="s">
        <v>161</v>
      </c>
      <c r="L640">
        <v>3</v>
      </c>
      <c r="M640">
        <v>577.99</v>
      </c>
      <c r="N640">
        <v>0</v>
      </c>
      <c r="O640">
        <v>1733.97</v>
      </c>
      <c r="P640">
        <v>232.53</v>
      </c>
    </row>
    <row r="641" spans="1:16" x14ac:dyDescent="0.35">
      <c r="A641" t="s">
        <v>957</v>
      </c>
      <c r="B641" s="1">
        <v>45105</v>
      </c>
      <c r="C641" s="1">
        <v>45110</v>
      </c>
      <c r="D641" t="s">
        <v>44</v>
      </c>
      <c r="E641" t="s">
        <v>50</v>
      </c>
      <c r="F641" t="s">
        <v>19</v>
      </c>
      <c r="G641" t="s">
        <v>45</v>
      </c>
      <c r="H641" t="s">
        <v>123</v>
      </c>
      <c r="I641" t="s">
        <v>22</v>
      </c>
      <c r="J641" t="s">
        <v>37</v>
      </c>
      <c r="K641" t="s">
        <v>38</v>
      </c>
      <c r="L641">
        <v>7</v>
      </c>
      <c r="M641">
        <v>9.09</v>
      </c>
      <c r="N641">
        <v>0</v>
      </c>
      <c r="O641">
        <v>63.63</v>
      </c>
      <c r="P641">
        <v>-3.44</v>
      </c>
    </row>
    <row r="642" spans="1:16" x14ac:dyDescent="0.35">
      <c r="A642" t="s">
        <v>958</v>
      </c>
      <c r="B642" s="1">
        <v>45051</v>
      </c>
      <c r="C642" s="1">
        <v>45053</v>
      </c>
      <c r="D642" t="s">
        <v>59</v>
      </c>
      <c r="E642" t="s">
        <v>737</v>
      </c>
      <c r="F642" t="s">
        <v>35</v>
      </c>
      <c r="G642" t="s">
        <v>187</v>
      </c>
      <c r="H642" t="s">
        <v>159</v>
      </c>
      <c r="I642" t="s">
        <v>30</v>
      </c>
      <c r="J642" t="s">
        <v>31</v>
      </c>
      <c r="K642" t="s">
        <v>57</v>
      </c>
      <c r="L642">
        <v>8</v>
      </c>
      <c r="M642">
        <v>130.18</v>
      </c>
      <c r="N642">
        <v>0.3</v>
      </c>
      <c r="O642">
        <v>1041.44</v>
      </c>
      <c r="P642">
        <v>128.66</v>
      </c>
    </row>
    <row r="643" spans="1:16" x14ac:dyDescent="0.35">
      <c r="A643" t="s">
        <v>959</v>
      </c>
      <c r="B643" s="1">
        <v>45477</v>
      </c>
      <c r="C643" s="1">
        <v>45480</v>
      </c>
      <c r="D643" t="s">
        <v>65</v>
      </c>
      <c r="E643" t="s">
        <v>375</v>
      </c>
      <c r="F643" t="s">
        <v>19</v>
      </c>
      <c r="G643" t="s">
        <v>128</v>
      </c>
      <c r="H643" t="s">
        <v>112</v>
      </c>
      <c r="I643" t="s">
        <v>52</v>
      </c>
      <c r="J643" t="s">
        <v>194</v>
      </c>
      <c r="K643" t="s">
        <v>195</v>
      </c>
      <c r="L643">
        <v>12</v>
      </c>
      <c r="M643">
        <v>375.33</v>
      </c>
      <c r="N643">
        <v>0</v>
      </c>
      <c r="O643">
        <v>4503.96</v>
      </c>
      <c r="P643">
        <v>1292.53</v>
      </c>
    </row>
    <row r="644" spans="1:16" x14ac:dyDescent="0.35">
      <c r="A644" t="s">
        <v>960</v>
      </c>
      <c r="B644" s="1">
        <v>45255</v>
      </c>
      <c r="C644" s="1">
        <v>45256</v>
      </c>
      <c r="D644" t="s">
        <v>17</v>
      </c>
      <c r="E644" t="s">
        <v>81</v>
      </c>
      <c r="F644" t="s">
        <v>35</v>
      </c>
      <c r="G644" t="s">
        <v>28</v>
      </c>
      <c r="H644" t="s">
        <v>159</v>
      </c>
      <c r="I644" t="s">
        <v>30</v>
      </c>
      <c r="J644" t="s">
        <v>41</v>
      </c>
      <c r="K644" t="s">
        <v>124</v>
      </c>
      <c r="L644">
        <v>12</v>
      </c>
      <c r="M644">
        <v>397.38</v>
      </c>
      <c r="N644">
        <v>0</v>
      </c>
      <c r="O644">
        <v>4768.5600000000004</v>
      </c>
      <c r="P644">
        <v>-160.19999999999999</v>
      </c>
    </row>
    <row r="645" spans="1:16" x14ac:dyDescent="0.35">
      <c r="A645" t="s">
        <v>961</v>
      </c>
      <c r="B645" s="1">
        <v>45031</v>
      </c>
      <c r="C645" s="1">
        <v>45032</v>
      </c>
      <c r="D645" t="s">
        <v>65</v>
      </c>
      <c r="E645" t="s">
        <v>316</v>
      </c>
      <c r="F645" t="s">
        <v>19</v>
      </c>
      <c r="G645" t="s">
        <v>111</v>
      </c>
      <c r="H645" t="s">
        <v>129</v>
      </c>
      <c r="I645" t="s">
        <v>52</v>
      </c>
      <c r="J645" t="s">
        <v>53</v>
      </c>
      <c r="K645" t="s">
        <v>91</v>
      </c>
      <c r="L645">
        <v>9</v>
      </c>
      <c r="M645">
        <v>116.72</v>
      </c>
      <c r="N645">
        <v>0.1</v>
      </c>
      <c r="O645">
        <v>1050.48</v>
      </c>
      <c r="P645">
        <v>-116.18</v>
      </c>
    </row>
    <row r="646" spans="1:16" x14ac:dyDescent="0.35">
      <c r="A646" t="s">
        <v>962</v>
      </c>
      <c r="B646" s="1">
        <v>45416</v>
      </c>
      <c r="C646" s="1">
        <v>45417</v>
      </c>
      <c r="D646" t="s">
        <v>17</v>
      </c>
      <c r="E646" t="s">
        <v>688</v>
      </c>
      <c r="F646" t="s">
        <v>35</v>
      </c>
      <c r="G646" t="s">
        <v>67</v>
      </c>
      <c r="H646" t="s">
        <v>21</v>
      </c>
      <c r="I646" t="s">
        <v>30</v>
      </c>
      <c r="J646" t="s">
        <v>47</v>
      </c>
      <c r="K646" t="s">
        <v>48</v>
      </c>
      <c r="L646">
        <v>1</v>
      </c>
      <c r="M646">
        <v>24.61</v>
      </c>
      <c r="N646">
        <v>0.15</v>
      </c>
      <c r="O646">
        <v>24.61</v>
      </c>
      <c r="P646">
        <v>4.9800000000000004</v>
      </c>
    </row>
    <row r="647" spans="1:16" x14ac:dyDescent="0.35">
      <c r="A647" t="s">
        <v>963</v>
      </c>
      <c r="B647" s="1">
        <v>44984</v>
      </c>
      <c r="C647" s="1">
        <v>44986</v>
      </c>
      <c r="D647" t="s">
        <v>59</v>
      </c>
      <c r="E647" t="s">
        <v>213</v>
      </c>
      <c r="F647" t="s">
        <v>35</v>
      </c>
      <c r="G647" t="s">
        <v>288</v>
      </c>
      <c r="H647" t="s">
        <v>112</v>
      </c>
      <c r="I647" t="s">
        <v>22</v>
      </c>
      <c r="J647" t="s">
        <v>37</v>
      </c>
      <c r="K647" t="s">
        <v>144</v>
      </c>
      <c r="L647">
        <v>7</v>
      </c>
      <c r="M647">
        <v>152.52000000000001</v>
      </c>
      <c r="N647">
        <v>0.3</v>
      </c>
      <c r="O647">
        <v>1067.6400000000001</v>
      </c>
      <c r="P647">
        <v>38.159999999999997</v>
      </c>
    </row>
    <row r="648" spans="1:16" x14ac:dyDescent="0.35">
      <c r="A648" t="s">
        <v>964</v>
      </c>
      <c r="B648" s="1">
        <v>44980</v>
      </c>
      <c r="C648" s="1">
        <v>44986</v>
      </c>
      <c r="D648" t="s">
        <v>44</v>
      </c>
      <c r="E648" t="s">
        <v>693</v>
      </c>
      <c r="F648" t="s">
        <v>35</v>
      </c>
      <c r="G648" t="s">
        <v>20</v>
      </c>
      <c r="H648" t="s">
        <v>36</v>
      </c>
      <c r="I648" t="s">
        <v>52</v>
      </c>
      <c r="J648" t="s">
        <v>78</v>
      </c>
      <c r="K648" t="s">
        <v>96</v>
      </c>
      <c r="L648">
        <v>11</v>
      </c>
      <c r="M648">
        <v>413.69</v>
      </c>
      <c r="N648">
        <v>0</v>
      </c>
      <c r="O648">
        <v>4550.59</v>
      </c>
      <c r="P648">
        <v>-612.89</v>
      </c>
    </row>
    <row r="649" spans="1:16" x14ac:dyDescent="0.35">
      <c r="A649" t="s">
        <v>965</v>
      </c>
      <c r="B649" s="1">
        <v>45431</v>
      </c>
      <c r="C649" s="1">
        <v>45432</v>
      </c>
      <c r="D649" t="s">
        <v>59</v>
      </c>
      <c r="E649" t="s">
        <v>169</v>
      </c>
      <c r="F649" t="s">
        <v>19</v>
      </c>
      <c r="G649" t="s">
        <v>107</v>
      </c>
      <c r="H649" t="s">
        <v>83</v>
      </c>
      <c r="I649" t="s">
        <v>30</v>
      </c>
      <c r="J649" t="s">
        <v>31</v>
      </c>
      <c r="K649" t="s">
        <v>57</v>
      </c>
      <c r="L649">
        <v>7</v>
      </c>
      <c r="M649">
        <v>530.66999999999996</v>
      </c>
      <c r="N649">
        <v>0.2</v>
      </c>
      <c r="O649">
        <v>3714.69</v>
      </c>
      <c r="P649">
        <v>-270.2</v>
      </c>
    </row>
    <row r="650" spans="1:16" x14ac:dyDescent="0.35">
      <c r="A650" t="s">
        <v>966</v>
      </c>
      <c r="B650" s="1">
        <v>45160</v>
      </c>
      <c r="C650" s="1">
        <v>45163</v>
      </c>
      <c r="D650" t="s">
        <v>59</v>
      </c>
      <c r="E650" t="s">
        <v>77</v>
      </c>
      <c r="F650" t="s">
        <v>35</v>
      </c>
      <c r="G650" t="s">
        <v>67</v>
      </c>
      <c r="H650" t="s">
        <v>21</v>
      </c>
      <c r="I650" t="s">
        <v>52</v>
      </c>
      <c r="J650" t="s">
        <v>68</v>
      </c>
      <c r="K650" t="s">
        <v>69</v>
      </c>
      <c r="L650">
        <v>12</v>
      </c>
      <c r="M650">
        <v>42.48</v>
      </c>
      <c r="N650">
        <v>0.2</v>
      </c>
      <c r="O650">
        <v>509.76</v>
      </c>
      <c r="P650">
        <v>-66.430000000000007</v>
      </c>
    </row>
    <row r="651" spans="1:16" x14ac:dyDescent="0.35">
      <c r="A651" t="s">
        <v>967</v>
      </c>
      <c r="B651" s="1">
        <v>45440</v>
      </c>
      <c r="C651" s="1">
        <v>45443</v>
      </c>
      <c r="D651" t="s">
        <v>17</v>
      </c>
      <c r="E651" t="s">
        <v>437</v>
      </c>
      <c r="F651" t="s">
        <v>27</v>
      </c>
      <c r="G651" t="s">
        <v>82</v>
      </c>
      <c r="H651" t="s">
        <v>46</v>
      </c>
      <c r="I651" t="s">
        <v>30</v>
      </c>
      <c r="J651" t="s">
        <v>47</v>
      </c>
      <c r="K651" t="s">
        <v>94</v>
      </c>
      <c r="L651">
        <v>7</v>
      </c>
      <c r="M651">
        <v>592.95000000000005</v>
      </c>
      <c r="N651">
        <v>0</v>
      </c>
      <c r="O651">
        <v>4150.6499999999996</v>
      </c>
      <c r="P651">
        <v>892.16</v>
      </c>
    </row>
    <row r="652" spans="1:16" x14ac:dyDescent="0.35">
      <c r="A652" t="s">
        <v>968</v>
      </c>
      <c r="B652" s="1">
        <v>45141</v>
      </c>
      <c r="C652" s="1">
        <v>45145</v>
      </c>
      <c r="D652" t="s">
        <v>59</v>
      </c>
      <c r="E652" t="s">
        <v>233</v>
      </c>
      <c r="F652" t="s">
        <v>35</v>
      </c>
      <c r="G652" t="s">
        <v>67</v>
      </c>
      <c r="H652" t="s">
        <v>21</v>
      </c>
      <c r="I652" t="s">
        <v>52</v>
      </c>
      <c r="J652" t="s">
        <v>78</v>
      </c>
      <c r="K652" t="s">
        <v>198</v>
      </c>
      <c r="L652">
        <v>5</v>
      </c>
      <c r="M652">
        <v>594.5</v>
      </c>
      <c r="N652">
        <v>0.2</v>
      </c>
      <c r="O652">
        <v>2972.5</v>
      </c>
      <c r="P652">
        <v>183</v>
      </c>
    </row>
    <row r="653" spans="1:16" x14ac:dyDescent="0.35">
      <c r="A653" t="s">
        <v>969</v>
      </c>
      <c r="B653" s="1">
        <v>45444</v>
      </c>
      <c r="C653" s="1">
        <v>45445</v>
      </c>
      <c r="E653" t="s">
        <v>303</v>
      </c>
      <c r="F653" t="s">
        <v>27</v>
      </c>
      <c r="G653" t="s">
        <v>67</v>
      </c>
      <c r="H653" t="s">
        <v>36</v>
      </c>
      <c r="I653" t="s">
        <v>22</v>
      </c>
      <c r="J653" t="s">
        <v>23</v>
      </c>
      <c r="K653" t="s">
        <v>24</v>
      </c>
      <c r="L653">
        <v>10</v>
      </c>
      <c r="M653">
        <v>745.9</v>
      </c>
      <c r="N653">
        <v>0</v>
      </c>
      <c r="O653">
        <v>7459</v>
      </c>
      <c r="P653">
        <v>2333.61</v>
      </c>
    </row>
    <row r="654" spans="1:16" x14ac:dyDescent="0.35">
      <c r="A654" t="s">
        <v>970</v>
      </c>
      <c r="B654" s="1">
        <v>45636</v>
      </c>
      <c r="C654" s="1">
        <v>45639</v>
      </c>
      <c r="D654" t="s">
        <v>17</v>
      </c>
      <c r="E654" t="s">
        <v>137</v>
      </c>
      <c r="F654" t="s">
        <v>27</v>
      </c>
      <c r="G654" t="s">
        <v>90</v>
      </c>
      <c r="H654" t="s">
        <v>62</v>
      </c>
      <c r="I654" t="s">
        <v>52</v>
      </c>
      <c r="J654" t="s">
        <v>68</v>
      </c>
      <c r="K654" t="s">
        <v>69</v>
      </c>
      <c r="L654">
        <v>1</v>
      </c>
      <c r="M654">
        <v>448.86</v>
      </c>
      <c r="N654">
        <v>0</v>
      </c>
      <c r="O654">
        <v>448.86</v>
      </c>
      <c r="P654">
        <v>76.03</v>
      </c>
    </row>
    <row r="655" spans="1:16" x14ac:dyDescent="0.35">
      <c r="A655" t="s">
        <v>971</v>
      </c>
      <c r="B655" s="1">
        <v>45241</v>
      </c>
      <c r="C655" s="1">
        <v>45246</v>
      </c>
      <c r="D655" t="s">
        <v>17</v>
      </c>
      <c r="E655" t="s">
        <v>972</v>
      </c>
      <c r="F655" t="s">
        <v>27</v>
      </c>
      <c r="G655" t="s">
        <v>51</v>
      </c>
      <c r="H655" t="s">
        <v>21</v>
      </c>
      <c r="I655" t="s">
        <v>52</v>
      </c>
      <c r="J655" t="s">
        <v>78</v>
      </c>
      <c r="K655" t="s">
        <v>198</v>
      </c>
      <c r="L655">
        <v>8</v>
      </c>
      <c r="M655">
        <v>38.119999999999997</v>
      </c>
      <c r="N655">
        <v>0</v>
      </c>
      <c r="O655">
        <v>304.95999999999998</v>
      </c>
      <c r="P655">
        <v>27.48</v>
      </c>
    </row>
    <row r="656" spans="1:16" x14ac:dyDescent="0.35">
      <c r="A656" t="s">
        <v>973</v>
      </c>
      <c r="B656" s="1">
        <v>45107</v>
      </c>
      <c r="C656" s="1">
        <v>45111</v>
      </c>
      <c r="D656" t="s">
        <v>65</v>
      </c>
      <c r="E656" t="s">
        <v>807</v>
      </c>
      <c r="F656" t="s">
        <v>27</v>
      </c>
      <c r="G656" t="s">
        <v>67</v>
      </c>
      <c r="H656" t="s">
        <v>21</v>
      </c>
      <c r="I656" t="s">
        <v>52</v>
      </c>
      <c r="J656" t="s">
        <v>78</v>
      </c>
      <c r="K656" t="s">
        <v>96</v>
      </c>
      <c r="L656">
        <v>8</v>
      </c>
      <c r="M656">
        <v>542.95000000000005</v>
      </c>
      <c r="N656">
        <v>0.2</v>
      </c>
      <c r="O656">
        <v>4343.6000000000004</v>
      </c>
      <c r="P656">
        <v>-141.47</v>
      </c>
    </row>
    <row r="657" spans="1:16" x14ac:dyDescent="0.35">
      <c r="A657" t="s">
        <v>974</v>
      </c>
      <c r="B657" s="1">
        <v>45316</v>
      </c>
      <c r="C657" s="1">
        <v>45317</v>
      </c>
      <c r="D657" t="s">
        <v>59</v>
      </c>
      <c r="F657" t="s">
        <v>19</v>
      </c>
      <c r="G657" t="s">
        <v>90</v>
      </c>
      <c r="H657" t="s">
        <v>73</v>
      </c>
      <c r="I657" t="s">
        <v>22</v>
      </c>
      <c r="J657" t="s">
        <v>37</v>
      </c>
      <c r="K657" t="s">
        <v>144</v>
      </c>
      <c r="L657">
        <v>6</v>
      </c>
      <c r="M657">
        <v>23.54</v>
      </c>
      <c r="N657">
        <v>0.15</v>
      </c>
      <c r="O657">
        <v>141.24</v>
      </c>
      <c r="P657">
        <v>22.29</v>
      </c>
    </row>
    <row r="658" spans="1:16" x14ac:dyDescent="0.35">
      <c r="A658" t="s">
        <v>975</v>
      </c>
      <c r="B658" s="1">
        <v>45197</v>
      </c>
      <c r="C658" s="1">
        <v>45202</v>
      </c>
      <c r="D658" t="s">
        <v>17</v>
      </c>
      <c r="E658" t="s">
        <v>169</v>
      </c>
      <c r="F658" t="s">
        <v>35</v>
      </c>
      <c r="G658" t="s">
        <v>288</v>
      </c>
      <c r="H658" t="s">
        <v>112</v>
      </c>
      <c r="I658" t="s">
        <v>22</v>
      </c>
      <c r="J658" t="s">
        <v>115</v>
      </c>
      <c r="K658" t="s">
        <v>147</v>
      </c>
      <c r="L658">
        <v>9</v>
      </c>
      <c r="M658">
        <v>292.42</v>
      </c>
      <c r="N658">
        <v>0.3</v>
      </c>
      <c r="O658">
        <v>2631.78</v>
      </c>
      <c r="P658">
        <v>214.08</v>
      </c>
    </row>
    <row r="659" spans="1:16" x14ac:dyDescent="0.35">
      <c r="A659" t="s">
        <v>976</v>
      </c>
      <c r="B659" s="1">
        <v>45203</v>
      </c>
      <c r="C659" s="1">
        <v>45204</v>
      </c>
      <c r="D659" t="s">
        <v>44</v>
      </c>
      <c r="E659" t="s">
        <v>312</v>
      </c>
      <c r="F659" t="s">
        <v>27</v>
      </c>
      <c r="G659" t="s">
        <v>181</v>
      </c>
      <c r="H659" t="s">
        <v>46</v>
      </c>
      <c r="I659" t="s">
        <v>22</v>
      </c>
      <c r="J659" t="s">
        <v>115</v>
      </c>
      <c r="K659" t="s">
        <v>147</v>
      </c>
      <c r="L659">
        <v>3</v>
      </c>
      <c r="M659">
        <v>489.7</v>
      </c>
      <c r="N659">
        <v>0</v>
      </c>
      <c r="O659">
        <v>1469.1</v>
      </c>
      <c r="P659">
        <v>-64.709999999999994</v>
      </c>
    </row>
    <row r="660" spans="1:16" x14ac:dyDescent="0.35">
      <c r="A660" t="s">
        <v>977</v>
      </c>
      <c r="B660" s="1">
        <v>45596</v>
      </c>
      <c r="C660" s="1">
        <v>45601</v>
      </c>
      <c r="D660" t="s">
        <v>59</v>
      </c>
      <c r="E660" t="s">
        <v>337</v>
      </c>
      <c r="F660" t="s">
        <v>27</v>
      </c>
      <c r="G660" t="s">
        <v>187</v>
      </c>
      <c r="H660" t="s">
        <v>159</v>
      </c>
      <c r="I660" t="s">
        <v>30</v>
      </c>
      <c r="J660" t="s">
        <v>99</v>
      </c>
      <c r="K660" t="s">
        <v>154</v>
      </c>
      <c r="L660">
        <v>10</v>
      </c>
      <c r="M660">
        <v>708.45</v>
      </c>
      <c r="N660">
        <v>0.3</v>
      </c>
      <c r="O660">
        <v>7084.5</v>
      </c>
      <c r="P660">
        <v>597.71</v>
      </c>
    </row>
    <row r="661" spans="1:16" x14ac:dyDescent="0.35">
      <c r="A661" t="s">
        <v>978</v>
      </c>
      <c r="B661" s="1">
        <v>45307</v>
      </c>
      <c r="C661" s="1">
        <v>45312</v>
      </c>
      <c r="D661" t="s">
        <v>59</v>
      </c>
      <c r="F661" t="s">
        <v>35</v>
      </c>
      <c r="G661" t="s">
        <v>90</v>
      </c>
      <c r="H661" t="s">
        <v>62</v>
      </c>
      <c r="I661" t="s">
        <v>52</v>
      </c>
      <c r="J661" t="s">
        <v>194</v>
      </c>
      <c r="K661" t="s">
        <v>306</v>
      </c>
      <c r="L661">
        <v>9</v>
      </c>
      <c r="M661">
        <v>645</v>
      </c>
      <c r="N661">
        <v>0.1</v>
      </c>
      <c r="O661">
        <v>5805</v>
      </c>
      <c r="P661">
        <v>-842.24</v>
      </c>
    </row>
    <row r="662" spans="1:16" x14ac:dyDescent="0.35">
      <c r="A662" t="s">
        <v>979</v>
      </c>
      <c r="B662" s="1">
        <v>45304</v>
      </c>
      <c r="C662" s="1">
        <v>45310</v>
      </c>
      <c r="D662" t="s">
        <v>59</v>
      </c>
      <c r="E662" t="s">
        <v>221</v>
      </c>
      <c r="F662" t="s">
        <v>35</v>
      </c>
      <c r="G662" t="s">
        <v>211</v>
      </c>
      <c r="H662" t="s">
        <v>29</v>
      </c>
      <c r="I662" t="s">
        <v>22</v>
      </c>
      <c r="J662" t="s">
        <v>23</v>
      </c>
      <c r="K662" t="s">
        <v>24</v>
      </c>
      <c r="L662">
        <v>2</v>
      </c>
      <c r="M662">
        <v>805.53</v>
      </c>
      <c r="N662">
        <v>0</v>
      </c>
      <c r="O662">
        <v>1611.06</v>
      </c>
      <c r="P662">
        <v>223.62</v>
      </c>
    </row>
    <row r="663" spans="1:16" x14ac:dyDescent="0.35">
      <c r="A663" t="s">
        <v>980</v>
      </c>
      <c r="B663" s="1">
        <v>45357</v>
      </c>
      <c r="C663" s="1">
        <v>45360</v>
      </c>
      <c r="D663" t="s">
        <v>44</v>
      </c>
      <c r="E663" t="s">
        <v>202</v>
      </c>
      <c r="F663" t="s">
        <v>27</v>
      </c>
      <c r="H663" t="s">
        <v>46</v>
      </c>
      <c r="I663" t="s">
        <v>30</v>
      </c>
      <c r="J663" t="s">
        <v>31</v>
      </c>
      <c r="K663" t="s">
        <v>57</v>
      </c>
      <c r="L663">
        <v>12</v>
      </c>
      <c r="M663">
        <v>817.53</v>
      </c>
      <c r="N663">
        <v>0.3</v>
      </c>
      <c r="O663">
        <v>9810.36</v>
      </c>
      <c r="P663">
        <v>1945.92</v>
      </c>
    </row>
    <row r="664" spans="1:16" x14ac:dyDescent="0.35">
      <c r="A664" t="s">
        <v>981</v>
      </c>
      <c r="B664" s="1">
        <v>45222</v>
      </c>
      <c r="C664" s="1">
        <v>45227</v>
      </c>
      <c r="D664" t="s">
        <v>59</v>
      </c>
      <c r="E664" t="s">
        <v>26</v>
      </c>
      <c r="F664" t="s">
        <v>27</v>
      </c>
      <c r="G664" t="s">
        <v>72</v>
      </c>
      <c r="H664" t="s">
        <v>62</v>
      </c>
      <c r="I664" t="s">
        <v>52</v>
      </c>
      <c r="J664" t="s">
        <v>194</v>
      </c>
      <c r="K664" t="s">
        <v>195</v>
      </c>
      <c r="L664">
        <v>5</v>
      </c>
      <c r="M664">
        <v>176.7</v>
      </c>
      <c r="N664">
        <v>0</v>
      </c>
      <c r="O664">
        <v>883.5</v>
      </c>
      <c r="P664">
        <v>96.16</v>
      </c>
    </row>
    <row r="665" spans="1:16" x14ac:dyDescent="0.35">
      <c r="A665" t="s">
        <v>982</v>
      </c>
      <c r="B665" s="1">
        <v>44933</v>
      </c>
      <c r="C665" s="1">
        <v>44936</v>
      </c>
      <c r="D665" t="s">
        <v>59</v>
      </c>
      <c r="E665" t="s">
        <v>312</v>
      </c>
      <c r="F665" t="s">
        <v>19</v>
      </c>
      <c r="G665" t="s">
        <v>51</v>
      </c>
      <c r="H665" t="s">
        <v>36</v>
      </c>
      <c r="I665" t="s">
        <v>22</v>
      </c>
      <c r="J665" t="s">
        <v>23</v>
      </c>
      <c r="K665" t="s">
        <v>24</v>
      </c>
      <c r="L665">
        <v>7</v>
      </c>
      <c r="M665">
        <v>439.65</v>
      </c>
      <c r="N665">
        <v>0.1</v>
      </c>
      <c r="O665">
        <v>3077.55</v>
      </c>
      <c r="P665">
        <v>55.6</v>
      </c>
    </row>
    <row r="666" spans="1:16" x14ac:dyDescent="0.35">
      <c r="A666" t="s">
        <v>983</v>
      </c>
      <c r="B666" s="1">
        <v>45581</v>
      </c>
      <c r="C666" s="1">
        <v>45582</v>
      </c>
      <c r="D666" t="s">
        <v>17</v>
      </c>
      <c r="E666" t="s">
        <v>984</v>
      </c>
      <c r="F666" t="s">
        <v>19</v>
      </c>
      <c r="G666" t="s">
        <v>67</v>
      </c>
      <c r="H666" t="s">
        <v>36</v>
      </c>
      <c r="I666" t="s">
        <v>52</v>
      </c>
      <c r="J666" t="s">
        <v>160</v>
      </c>
      <c r="K666" t="s">
        <v>161</v>
      </c>
      <c r="L666">
        <v>1</v>
      </c>
      <c r="M666">
        <v>662.2</v>
      </c>
      <c r="N666">
        <v>0.3</v>
      </c>
      <c r="O666">
        <v>662.2</v>
      </c>
      <c r="P666">
        <v>1.29</v>
      </c>
    </row>
    <row r="667" spans="1:16" x14ac:dyDescent="0.35">
      <c r="A667" t="s">
        <v>985</v>
      </c>
      <c r="B667" s="1">
        <v>45417</v>
      </c>
      <c r="C667" s="1">
        <v>45421</v>
      </c>
      <c r="D667" t="s">
        <v>44</v>
      </c>
      <c r="E667" t="s">
        <v>149</v>
      </c>
      <c r="F667" t="s">
        <v>35</v>
      </c>
      <c r="G667" t="s">
        <v>72</v>
      </c>
      <c r="H667" t="s">
        <v>73</v>
      </c>
      <c r="I667" t="s">
        <v>22</v>
      </c>
      <c r="J667" t="s">
        <v>23</v>
      </c>
      <c r="K667" t="s">
        <v>289</v>
      </c>
      <c r="L667">
        <v>4</v>
      </c>
      <c r="M667">
        <v>817.66</v>
      </c>
      <c r="N667">
        <v>15</v>
      </c>
      <c r="O667">
        <v>3270.64</v>
      </c>
      <c r="P667">
        <v>913</v>
      </c>
    </row>
    <row r="668" spans="1:16" x14ac:dyDescent="0.35">
      <c r="A668" t="s">
        <v>986</v>
      </c>
      <c r="B668" s="1">
        <v>45535</v>
      </c>
      <c r="C668" s="1">
        <v>45540</v>
      </c>
      <c r="D668" t="s">
        <v>59</v>
      </c>
      <c r="E668" t="s">
        <v>180</v>
      </c>
      <c r="F668" t="s">
        <v>19</v>
      </c>
      <c r="G668" t="s">
        <v>111</v>
      </c>
      <c r="H668" t="s">
        <v>129</v>
      </c>
      <c r="I668" t="s">
        <v>22</v>
      </c>
      <c r="J668" t="s">
        <v>23</v>
      </c>
      <c r="K668" t="s">
        <v>289</v>
      </c>
      <c r="L668">
        <v>1</v>
      </c>
      <c r="M668">
        <v>95.63</v>
      </c>
      <c r="N668">
        <v>0</v>
      </c>
      <c r="O668">
        <v>95.63</v>
      </c>
      <c r="P668">
        <v>32.25</v>
      </c>
    </row>
    <row r="669" spans="1:16" x14ac:dyDescent="0.35">
      <c r="A669" t="s">
        <v>987</v>
      </c>
      <c r="B669" s="1">
        <v>45013</v>
      </c>
      <c r="C669" s="1">
        <v>45020</v>
      </c>
      <c r="D669" t="s">
        <v>65</v>
      </c>
      <c r="E669" t="s">
        <v>303</v>
      </c>
      <c r="F669" t="s">
        <v>27</v>
      </c>
      <c r="G669" t="s">
        <v>211</v>
      </c>
      <c r="H669" t="s">
        <v>159</v>
      </c>
      <c r="I669" t="s">
        <v>30</v>
      </c>
      <c r="J669" t="s">
        <v>31</v>
      </c>
      <c r="K669" t="s">
        <v>32</v>
      </c>
      <c r="L669">
        <v>12</v>
      </c>
      <c r="M669">
        <v>732.28</v>
      </c>
      <c r="N669">
        <v>0</v>
      </c>
      <c r="O669">
        <v>8787.36</v>
      </c>
      <c r="P669">
        <v>1817.65</v>
      </c>
    </row>
    <row r="670" spans="1:16" x14ac:dyDescent="0.35">
      <c r="A670" t="s">
        <v>988</v>
      </c>
      <c r="B670" s="1">
        <v>45512</v>
      </c>
      <c r="C670" s="1">
        <v>45513</v>
      </c>
      <c r="D670" t="s">
        <v>65</v>
      </c>
      <c r="E670" t="s">
        <v>141</v>
      </c>
      <c r="F670" t="s">
        <v>19</v>
      </c>
      <c r="G670" t="s">
        <v>132</v>
      </c>
      <c r="H670" t="s">
        <v>129</v>
      </c>
      <c r="I670" t="s">
        <v>22</v>
      </c>
      <c r="J670" t="s">
        <v>23</v>
      </c>
      <c r="K670" t="s">
        <v>289</v>
      </c>
      <c r="L670">
        <v>5</v>
      </c>
      <c r="M670">
        <v>264.91000000000003</v>
      </c>
      <c r="N670">
        <v>0</v>
      </c>
      <c r="O670">
        <v>1324.55</v>
      </c>
      <c r="P670">
        <v>-121.97</v>
      </c>
    </row>
    <row r="671" spans="1:16" x14ac:dyDescent="0.35">
      <c r="A671" t="s">
        <v>989</v>
      </c>
      <c r="B671" s="1">
        <v>45345</v>
      </c>
      <c r="C671" s="1">
        <v>45348</v>
      </c>
      <c r="D671" t="s">
        <v>65</v>
      </c>
      <c r="E671" t="s">
        <v>257</v>
      </c>
      <c r="F671" t="s">
        <v>35</v>
      </c>
      <c r="G671" t="s">
        <v>103</v>
      </c>
      <c r="H671" t="s">
        <v>62</v>
      </c>
      <c r="I671" t="s">
        <v>22</v>
      </c>
      <c r="J671" t="s">
        <v>115</v>
      </c>
      <c r="K671" t="s">
        <v>116</v>
      </c>
      <c r="L671">
        <v>9</v>
      </c>
      <c r="M671">
        <v>384.28</v>
      </c>
      <c r="N671">
        <v>0.2</v>
      </c>
      <c r="O671">
        <v>3458.52</v>
      </c>
      <c r="P671">
        <v>-92.78</v>
      </c>
    </row>
    <row r="672" spans="1:16" x14ac:dyDescent="0.35">
      <c r="A672" t="s">
        <v>990</v>
      </c>
      <c r="B672" s="1">
        <v>44946</v>
      </c>
      <c r="C672" s="1">
        <v>44947</v>
      </c>
      <c r="D672" t="s">
        <v>44</v>
      </c>
      <c r="E672" t="s">
        <v>770</v>
      </c>
      <c r="F672" t="s">
        <v>27</v>
      </c>
      <c r="G672" t="s">
        <v>72</v>
      </c>
      <c r="H672" t="s">
        <v>73</v>
      </c>
      <c r="I672" t="s">
        <v>52</v>
      </c>
      <c r="J672" t="s">
        <v>194</v>
      </c>
      <c r="K672" t="s">
        <v>361</v>
      </c>
      <c r="L672">
        <v>2</v>
      </c>
      <c r="M672">
        <v>727.19</v>
      </c>
      <c r="N672">
        <v>0.15</v>
      </c>
      <c r="O672">
        <v>1454.38</v>
      </c>
      <c r="P672">
        <v>14.86</v>
      </c>
    </row>
    <row r="673" spans="1:16" x14ac:dyDescent="0.35">
      <c r="A673" t="s">
        <v>991</v>
      </c>
      <c r="B673" s="1">
        <v>45238</v>
      </c>
      <c r="C673" s="1">
        <v>45244</v>
      </c>
      <c r="D673" t="s">
        <v>17</v>
      </c>
      <c r="E673" t="s">
        <v>360</v>
      </c>
      <c r="F673" t="s">
        <v>19</v>
      </c>
      <c r="G673" t="s">
        <v>128</v>
      </c>
      <c r="H673" t="s">
        <v>129</v>
      </c>
      <c r="I673" t="s">
        <v>52</v>
      </c>
      <c r="J673" t="s">
        <v>160</v>
      </c>
      <c r="K673" t="s">
        <v>161</v>
      </c>
      <c r="L673">
        <v>12</v>
      </c>
      <c r="M673">
        <v>293.48</v>
      </c>
      <c r="N673">
        <v>0</v>
      </c>
      <c r="O673">
        <v>3521.76</v>
      </c>
      <c r="P673">
        <v>-482.72</v>
      </c>
    </row>
    <row r="674" spans="1:16" x14ac:dyDescent="0.35">
      <c r="A674" t="s">
        <v>992</v>
      </c>
      <c r="B674" s="1">
        <v>45422</v>
      </c>
      <c r="C674" s="1">
        <v>45425</v>
      </c>
      <c r="D674" t="s">
        <v>65</v>
      </c>
      <c r="E674" t="s">
        <v>265</v>
      </c>
      <c r="F674" t="s">
        <v>27</v>
      </c>
      <c r="H674" t="s">
        <v>46</v>
      </c>
      <c r="I674" t="s">
        <v>30</v>
      </c>
      <c r="J674" t="s">
        <v>41</v>
      </c>
      <c r="K674" t="s">
        <v>124</v>
      </c>
      <c r="L674">
        <v>1</v>
      </c>
      <c r="M674">
        <v>603.38</v>
      </c>
      <c r="N674">
        <v>0.15</v>
      </c>
      <c r="O674">
        <v>603.38</v>
      </c>
      <c r="P674">
        <v>183.34</v>
      </c>
    </row>
    <row r="675" spans="1:16" x14ac:dyDescent="0.35">
      <c r="A675" t="s">
        <v>993</v>
      </c>
      <c r="B675" s="1">
        <v>45084</v>
      </c>
      <c r="C675" s="1">
        <v>45087</v>
      </c>
      <c r="D675" t="s">
        <v>17</v>
      </c>
      <c r="E675" t="s">
        <v>375</v>
      </c>
      <c r="F675" t="s">
        <v>27</v>
      </c>
      <c r="G675" t="s">
        <v>103</v>
      </c>
      <c r="H675" t="s">
        <v>62</v>
      </c>
      <c r="I675" t="s">
        <v>52</v>
      </c>
      <c r="J675" t="s">
        <v>53</v>
      </c>
      <c r="K675" t="s">
        <v>91</v>
      </c>
      <c r="L675">
        <v>9</v>
      </c>
      <c r="M675">
        <v>201.87</v>
      </c>
      <c r="N675">
        <v>0</v>
      </c>
      <c r="O675">
        <v>1816.83</v>
      </c>
      <c r="P675">
        <v>200.4</v>
      </c>
    </row>
    <row r="676" spans="1:16" x14ac:dyDescent="0.35">
      <c r="A676" t="s">
        <v>994</v>
      </c>
      <c r="B676" s="1">
        <v>44976</v>
      </c>
      <c r="C676" s="1">
        <v>44980</v>
      </c>
      <c r="D676" t="s">
        <v>65</v>
      </c>
      <c r="E676" t="s">
        <v>186</v>
      </c>
      <c r="F676" t="s">
        <v>35</v>
      </c>
      <c r="G676" t="s">
        <v>20</v>
      </c>
      <c r="H676" t="s">
        <v>21</v>
      </c>
      <c r="I676" t="s">
        <v>52</v>
      </c>
      <c r="J676" t="s">
        <v>78</v>
      </c>
      <c r="K676" t="s">
        <v>79</v>
      </c>
      <c r="L676">
        <v>11</v>
      </c>
      <c r="M676">
        <v>335.52</v>
      </c>
      <c r="N676">
        <v>0.1</v>
      </c>
      <c r="O676">
        <v>3690.72</v>
      </c>
      <c r="P676">
        <v>69.13</v>
      </c>
    </row>
    <row r="677" spans="1:16" x14ac:dyDescent="0.35">
      <c r="A677" t="s">
        <v>995</v>
      </c>
      <c r="B677" s="1">
        <v>45095</v>
      </c>
      <c r="C677" s="1">
        <v>45099</v>
      </c>
      <c r="D677" t="s">
        <v>65</v>
      </c>
      <c r="E677" t="s">
        <v>400</v>
      </c>
      <c r="F677" t="s">
        <v>19</v>
      </c>
      <c r="G677" t="s">
        <v>128</v>
      </c>
      <c r="H677" t="s">
        <v>129</v>
      </c>
      <c r="I677" t="s">
        <v>30</v>
      </c>
      <c r="J677" t="s">
        <v>47</v>
      </c>
      <c r="K677" t="s">
        <v>94</v>
      </c>
      <c r="L677">
        <v>8</v>
      </c>
      <c r="M677">
        <v>242.18</v>
      </c>
      <c r="N677">
        <v>0</v>
      </c>
      <c r="O677">
        <v>1937.44</v>
      </c>
      <c r="P677">
        <v>-203.02</v>
      </c>
    </row>
    <row r="678" spans="1:16" x14ac:dyDescent="0.35">
      <c r="A678" t="s">
        <v>996</v>
      </c>
      <c r="B678" s="1">
        <v>45627</v>
      </c>
      <c r="C678" s="1">
        <v>45631</v>
      </c>
      <c r="D678" t="s">
        <v>44</v>
      </c>
      <c r="E678" t="s">
        <v>50</v>
      </c>
      <c r="F678" t="s">
        <v>35</v>
      </c>
      <c r="G678" t="s">
        <v>332</v>
      </c>
      <c r="H678" t="s">
        <v>123</v>
      </c>
      <c r="I678" t="s">
        <v>30</v>
      </c>
      <c r="J678" t="s">
        <v>99</v>
      </c>
      <c r="K678" t="s">
        <v>100</v>
      </c>
      <c r="L678">
        <v>2</v>
      </c>
      <c r="M678">
        <v>556.04999999999995</v>
      </c>
      <c r="N678">
        <v>0</v>
      </c>
      <c r="O678">
        <v>1112.0999999999999</v>
      </c>
      <c r="P678">
        <v>33.64</v>
      </c>
    </row>
    <row r="679" spans="1:16" x14ac:dyDescent="0.35">
      <c r="A679" t="s">
        <v>997</v>
      </c>
      <c r="B679" s="1">
        <v>44993</v>
      </c>
      <c r="C679" s="1">
        <v>44996</v>
      </c>
      <c r="D679" t="s">
        <v>44</v>
      </c>
      <c r="E679" t="s">
        <v>640</v>
      </c>
      <c r="F679" t="s">
        <v>19</v>
      </c>
      <c r="G679" t="s">
        <v>288</v>
      </c>
      <c r="H679" t="s">
        <v>112</v>
      </c>
      <c r="I679" t="s">
        <v>22</v>
      </c>
      <c r="J679" t="s">
        <v>115</v>
      </c>
      <c r="K679" t="s">
        <v>133</v>
      </c>
      <c r="L679">
        <v>9</v>
      </c>
      <c r="M679">
        <v>192.81</v>
      </c>
      <c r="N679">
        <v>0</v>
      </c>
      <c r="O679">
        <v>1735.29</v>
      </c>
      <c r="P679">
        <v>270.75</v>
      </c>
    </row>
    <row r="680" spans="1:16" x14ac:dyDescent="0.35">
      <c r="A680" t="s">
        <v>998</v>
      </c>
      <c r="B680" s="1">
        <v>44986</v>
      </c>
      <c r="C680" s="1">
        <v>44991</v>
      </c>
      <c r="D680" t="s">
        <v>59</v>
      </c>
      <c r="E680" t="s">
        <v>999</v>
      </c>
      <c r="F680" t="s">
        <v>35</v>
      </c>
      <c r="G680" t="s">
        <v>82</v>
      </c>
      <c r="H680" t="s">
        <v>83</v>
      </c>
      <c r="I680" t="s">
        <v>22</v>
      </c>
      <c r="J680" t="s">
        <v>115</v>
      </c>
      <c r="K680" t="s">
        <v>147</v>
      </c>
      <c r="L680">
        <v>5</v>
      </c>
      <c r="M680">
        <v>690.55</v>
      </c>
      <c r="N680">
        <v>0</v>
      </c>
      <c r="O680">
        <v>3452.75</v>
      </c>
      <c r="P680">
        <v>-69.849999999999994</v>
      </c>
    </row>
    <row r="681" spans="1:16" x14ac:dyDescent="0.35">
      <c r="A681" t="s">
        <v>494</v>
      </c>
      <c r="B681" s="1">
        <v>45351</v>
      </c>
      <c r="C681" s="1">
        <v>45355</v>
      </c>
      <c r="D681" t="s">
        <v>65</v>
      </c>
      <c r="E681" t="s">
        <v>717</v>
      </c>
      <c r="F681" t="s">
        <v>35</v>
      </c>
      <c r="G681" t="s">
        <v>82</v>
      </c>
      <c r="H681" t="s">
        <v>46</v>
      </c>
      <c r="I681" t="s">
        <v>22</v>
      </c>
      <c r="J681" t="s">
        <v>23</v>
      </c>
      <c r="K681" t="s">
        <v>178</v>
      </c>
      <c r="L681">
        <v>5</v>
      </c>
      <c r="M681">
        <v>712.22</v>
      </c>
      <c r="N681">
        <v>0</v>
      </c>
      <c r="O681">
        <v>3561.1</v>
      </c>
      <c r="P681">
        <v>0.51</v>
      </c>
    </row>
    <row r="682" spans="1:16" x14ac:dyDescent="0.35">
      <c r="A682" t="s">
        <v>1000</v>
      </c>
      <c r="B682" s="1">
        <v>45584</v>
      </c>
      <c r="C682" s="1">
        <v>45591</v>
      </c>
      <c r="D682" t="s">
        <v>44</v>
      </c>
      <c r="E682" t="s">
        <v>135</v>
      </c>
      <c r="F682" t="s">
        <v>27</v>
      </c>
      <c r="G682" t="s">
        <v>132</v>
      </c>
      <c r="H682" t="s">
        <v>129</v>
      </c>
      <c r="I682" t="s">
        <v>30</v>
      </c>
      <c r="J682" t="s">
        <v>47</v>
      </c>
      <c r="K682" t="s">
        <v>94</v>
      </c>
      <c r="L682">
        <v>1</v>
      </c>
      <c r="M682">
        <v>837.54</v>
      </c>
      <c r="N682">
        <v>0</v>
      </c>
      <c r="O682">
        <v>837.54</v>
      </c>
      <c r="P682">
        <v>148.97999999999999</v>
      </c>
    </row>
    <row r="683" spans="1:16" x14ac:dyDescent="0.35">
      <c r="A683" t="s">
        <v>1001</v>
      </c>
      <c r="B683" s="1">
        <v>45596</v>
      </c>
      <c r="C683" s="1">
        <v>45603</v>
      </c>
      <c r="D683" t="s">
        <v>65</v>
      </c>
      <c r="E683" t="s">
        <v>758</v>
      </c>
      <c r="F683" t="s">
        <v>19</v>
      </c>
      <c r="G683" t="s">
        <v>86</v>
      </c>
      <c r="H683" t="s">
        <v>159</v>
      </c>
      <c r="I683" t="s">
        <v>52</v>
      </c>
      <c r="J683" t="s">
        <v>68</v>
      </c>
      <c r="K683" t="s">
        <v>216</v>
      </c>
      <c r="L683">
        <v>2</v>
      </c>
      <c r="M683">
        <v>699.19</v>
      </c>
      <c r="N683">
        <v>0</v>
      </c>
      <c r="O683">
        <v>1398.38</v>
      </c>
      <c r="P683">
        <v>-63.01</v>
      </c>
    </row>
    <row r="684" spans="1:16" x14ac:dyDescent="0.35">
      <c r="A684" t="s">
        <v>1002</v>
      </c>
      <c r="B684" s="1">
        <v>44961</v>
      </c>
      <c r="C684" s="1">
        <v>44964</v>
      </c>
      <c r="D684" t="s">
        <v>44</v>
      </c>
      <c r="E684" t="s">
        <v>510</v>
      </c>
      <c r="F684" t="s">
        <v>27</v>
      </c>
      <c r="G684" t="s">
        <v>82</v>
      </c>
      <c r="H684" t="s">
        <v>46</v>
      </c>
      <c r="I684" t="s">
        <v>30</v>
      </c>
      <c r="J684" t="s">
        <v>41</v>
      </c>
      <c r="K684" t="s">
        <v>124</v>
      </c>
      <c r="L684">
        <v>3</v>
      </c>
      <c r="M684">
        <v>660.13</v>
      </c>
      <c r="N684">
        <v>0.15</v>
      </c>
      <c r="O684">
        <v>1980.39</v>
      </c>
      <c r="P684">
        <v>635.54</v>
      </c>
    </row>
    <row r="685" spans="1:16" x14ac:dyDescent="0.35">
      <c r="A685" t="s">
        <v>1003</v>
      </c>
      <c r="B685" s="1">
        <v>44967</v>
      </c>
      <c r="C685" s="1">
        <v>44970</v>
      </c>
      <c r="D685" t="s">
        <v>59</v>
      </c>
      <c r="E685" t="s">
        <v>424</v>
      </c>
      <c r="F685" t="s">
        <v>27</v>
      </c>
      <c r="G685" t="s">
        <v>51</v>
      </c>
      <c r="H685" t="s">
        <v>36</v>
      </c>
      <c r="I685" t="s">
        <v>52</v>
      </c>
      <c r="J685" t="s">
        <v>68</v>
      </c>
      <c r="K685" t="s">
        <v>216</v>
      </c>
      <c r="L685">
        <v>6</v>
      </c>
      <c r="M685">
        <v>827.8</v>
      </c>
      <c r="N685">
        <v>0.3</v>
      </c>
      <c r="O685">
        <v>4966.8</v>
      </c>
      <c r="P685">
        <v>1610.47</v>
      </c>
    </row>
    <row r="686" spans="1:16" x14ac:dyDescent="0.35">
      <c r="A686" t="s">
        <v>1004</v>
      </c>
      <c r="B686" s="1">
        <v>45132</v>
      </c>
      <c r="C686" s="1">
        <v>45137</v>
      </c>
      <c r="D686" t="s">
        <v>59</v>
      </c>
      <c r="E686" t="s">
        <v>839</v>
      </c>
      <c r="F686" t="s">
        <v>27</v>
      </c>
      <c r="G686" t="s">
        <v>111</v>
      </c>
      <c r="H686" t="s">
        <v>112</v>
      </c>
      <c r="I686" t="s">
        <v>52</v>
      </c>
      <c r="J686" t="s">
        <v>78</v>
      </c>
      <c r="K686" t="s">
        <v>79</v>
      </c>
      <c r="L686">
        <v>5</v>
      </c>
      <c r="M686">
        <v>681.89</v>
      </c>
      <c r="N686">
        <v>0.3</v>
      </c>
      <c r="O686">
        <v>3409.45</v>
      </c>
      <c r="P686">
        <v>586.14</v>
      </c>
    </row>
    <row r="687" spans="1:16" x14ac:dyDescent="0.35">
      <c r="A687" t="s">
        <v>1005</v>
      </c>
      <c r="B687" s="1">
        <v>45621</v>
      </c>
      <c r="C687" s="1">
        <v>45622</v>
      </c>
      <c r="D687" t="s">
        <v>59</v>
      </c>
      <c r="E687" t="s">
        <v>326</v>
      </c>
      <c r="F687" t="s">
        <v>27</v>
      </c>
      <c r="G687" t="s">
        <v>90</v>
      </c>
      <c r="H687" t="s">
        <v>62</v>
      </c>
      <c r="I687" t="s">
        <v>30</v>
      </c>
      <c r="J687" t="s">
        <v>31</v>
      </c>
      <c r="K687" t="s">
        <v>87</v>
      </c>
      <c r="L687">
        <v>7</v>
      </c>
      <c r="M687">
        <v>760.69</v>
      </c>
      <c r="N687">
        <v>0.1</v>
      </c>
      <c r="O687">
        <v>5324.83</v>
      </c>
      <c r="P687">
        <v>-69.13</v>
      </c>
    </row>
    <row r="688" spans="1:16" x14ac:dyDescent="0.35">
      <c r="A688" t="s">
        <v>1006</v>
      </c>
      <c r="B688" s="1">
        <v>45227</v>
      </c>
      <c r="C688" s="1">
        <v>45230</v>
      </c>
      <c r="D688" t="s">
        <v>59</v>
      </c>
      <c r="E688" t="s">
        <v>1007</v>
      </c>
      <c r="F688" t="s">
        <v>35</v>
      </c>
      <c r="G688" t="s">
        <v>181</v>
      </c>
      <c r="H688" t="s">
        <v>46</v>
      </c>
      <c r="I688" t="s">
        <v>22</v>
      </c>
      <c r="J688" t="s">
        <v>115</v>
      </c>
      <c r="K688" t="s">
        <v>133</v>
      </c>
      <c r="L688">
        <v>12</v>
      </c>
      <c r="M688">
        <v>386.37</v>
      </c>
      <c r="N688">
        <v>0.2</v>
      </c>
      <c r="O688">
        <v>4636.4399999999996</v>
      </c>
      <c r="P688">
        <v>333.61</v>
      </c>
    </row>
    <row r="689" spans="1:16" x14ac:dyDescent="0.35">
      <c r="A689" t="s">
        <v>1008</v>
      </c>
      <c r="B689" s="1">
        <v>45024</v>
      </c>
      <c r="C689" s="1">
        <v>45025</v>
      </c>
      <c r="D689" t="s">
        <v>59</v>
      </c>
      <c r="E689" t="s">
        <v>1009</v>
      </c>
      <c r="F689" t="s">
        <v>19</v>
      </c>
      <c r="G689" t="s">
        <v>86</v>
      </c>
      <c r="H689" t="s">
        <v>29</v>
      </c>
      <c r="I689" t="s">
        <v>52</v>
      </c>
      <c r="J689" t="s">
        <v>160</v>
      </c>
      <c r="K689" t="s">
        <v>634</v>
      </c>
      <c r="L689">
        <v>10</v>
      </c>
      <c r="M689">
        <v>777.75</v>
      </c>
      <c r="N689">
        <v>0</v>
      </c>
      <c r="O689">
        <v>7777.5</v>
      </c>
      <c r="P689">
        <v>2489.5700000000002</v>
      </c>
    </row>
    <row r="690" spans="1:16" x14ac:dyDescent="0.35">
      <c r="A690" t="s">
        <v>1010</v>
      </c>
      <c r="B690" s="1">
        <v>44936</v>
      </c>
      <c r="C690" s="1">
        <v>44942</v>
      </c>
      <c r="D690" t="s">
        <v>17</v>
      </c>
      <c r="E690" t="s">
        <v>243</v>
      </c>
      <c r="F690" t="s">
        <v>19</v>
      </c>
      <c r="G690" t="s">
        <v>72</v>
      </c>
      <c r="H690" t="s">
        <v>73</v>
      </c>
      <c r="I690" t="s">
        <v>30</v>
      </c>
      <c r="J690" t="s">
        <v>31</v>
      </c>
      <c r="K690" t="s">
        <v>87</v>
      </c>
      <c r="L690">
        <v>12</v>
      </c>
      <c r="M690">
        <v>577.08000000000004</v>
      </c>
      <c r="N690">
        <v>0</v>
      </c>
      <c r="O690">
        <v>6924.96</v>
      </c>
      <c r="P690">
        <v>1410.97</v>
      </c>
    </row>
    <row r="691" spans="1:16" x14ac:dyDescent="0.35">
      <c r="A691" t="s">
        <v>1011</v>
      </c>
      <c r="B691" s="1">
        <v>45324</v>
      </c>
      <c r="C691" s="1">
        <v>45327</v>
      </c>
      <c r="D691" t="s">
        <v>59</v>
      </c>
      <c r="E691" t="s">
        <v>269</v>
      </c>
      <c r="F691" t="s">
        <v>27</v>
      </c>
      <c r="G691" t="s">
        <v>86</v>
      </c>
      <c r="H691" t="s">
        <v>29</v>
      </c>
      <c r="I691" t="s">
        <v>22</v>
      </c>
      <c r="J691" t="s">
        <v>37</v>
      </c>
      <c r="K691" t="s">
        <v>38</v>
      </c>
      <c r="L691">
        <v>8</v>
      </c>
      <c r="M691">
        <v>291.07</v>
      </c>
      <c r="N691">
        <v>0</v>
      </c>
      <c r="O691">
        <v>2328.56</v>
      </c>
      <c r="P691">
        <v>-51.48</v>
      </c>
    </row>
    <row r="692" spans="1:16" x14ac:dyDescent="0.35">
      <c r="A692" t="s">
        <v>1012</v>
      </c>
      <c r="B692" s="1">
        <v>45119</v>
      </c>
      <c r="C692" s="1">
        <v>45124</v>
      </c>
      <c r="D692" t="s">
        <v>65</v>
      </c>
      <c r="E692" t="s">
        <v>363</v>
      </c>
      <c r="F692" t="s">
        <v>27</v>
      </c>
      <c r="G692" t="s">
        <v>332</v>
      </c>
      <c r="H692" t="s">
        <v>46</v>
      </c>
      <c r="I692" t="s">
        <v>30</v>
      </c>
      <c r="J692" t="s">
        <v>99</v>
      </c>
      <c r="K692" t="s">
        <v>100</v>
      </c>
      <c r="L692">
        <v>10</v>
      </c>
      <c r="M692">
        <v>611.72</v>
      </c>
      <c r="N692">
        <v>0.2</v>
      </c>
      <c r="O692">
        <v>6117.2</v>
      </c>
      <c r="P692">
        <v>-394.95</v>
      </c>
    </row>
    <row r="693" spans="1:16" x14ac:dyDescent="0.35">
      <c r="A693" t="s">
        <v>1013</v>
      </c>
      <c r="B693" s="1">
        <v>45568</v>
      </c>
      <c r="C693" s="1">
        <v>45571</v>
      </c>
      <c r="D693" t="s">
        <v>59</v>
      </c>
      <c r="E693" t="s">
        <v>326</v>
      </c>
      <c r="F693" t="s">
        <v>35</v>
      </c>
      <c r="G693" t="s">
        <v>20</v>
      </c>
      <c r="H693" t="s">
        <v>21</v>
      </c>
      <c r="I693" t="s">
        <v>52</v>
      </c>
      <c r="J693" t="s">
        <v>194</v>
      </c>
      <c r="K693" t="s">
        <v>306</v>
      </c>
      <c r="L693">
        <v>9</v>
      </c>
      <c r="M693">
        <v>715.73</v>
      </c>
      <c r="N693">
        <v>0</v>
      </c>
      <c r="O693">
        <v>6441.57</v>
      </c>
      <c r="P693">
        <v>1532.29</v>
      </c>
    </row>
    <row r="694" spans="1:16" x14ac:dyDescent="0.35">
      <c r="A694" t="s">
        <v>1014</v>
      </c>
      <c r="B694" s="1">
        <v>45005</v>
      </c>
      <c r="C694" s="1">
        <v>45008</v>
      </c>
      <c r="D694" t="s">
        <v>59</v>
      </c>
      <c r="E694" t="s">
        <v>415</v>
      </c>
      <c r="F694" t="s">
        <v>35</v>
      </c>
      <c r="G694" t="s">
        <v>20</v>
      </c>
      <c r="H694" t="s">
        <v>21</v>
      </c>
      <c r="I694" t="s">
        <v>22</v>
      </c>
      <c r="J694" t="s">
        <v>74</v>
      </c>
      <c r="K694" t="s">
        <v>75</v>
      </c>
      <c r="L694">
        <v>6</v>
      </c>
      <c r="M694">
        <v>835.06</v>
      </c>
      <c r="N694">
        <v>0.2</v>
      </c>
      <c r="O694">
        <v>5010.3599999999997</v>
      </c>
      <c r="P694">
        <v>4.9800000000000004</v>
      </c>
    </row>
    <row r="695" spans="1:16" x14ac:dyDescent="0.35">
      <c r="A695" t="s">
        <v>1015</v>
      </c>
      <c r="B695" s="1">
        <v>45193</v>
      </c>
      <c r="C695" s="1">
        <v>45199</v>
      </c>
      <c r="D695" t="s">
        <v>44</v>
      </c>
      <c r="E695" t="s">
        <v>355</v>
      </c>
      <c r="F695" t="s">
        <v>19</v>
      </c>
      <c r="G695" t="s">
        <v>288</v>
      </c>
      <c r="H695" t="s">
        <v>129</v>
      </c>
      <c r="I695" t="s">
        <v>22</v>
      </c>
      <c r="J695" t="s">
        <v>37</v>
      </c>
      <c r="K695" t="s">
        <v>38</v>
      </c>
      <c r="L695">
        <v>2</v>
      </c>
      <c r="M695">
        <v>409.58</v>
      </c>
      <c r="N695">
        <v>0.2</v>
      </c>
      <c r="O695">
        <v>819.16</v>
      </c>
      <c r="P695">
        <v>59.43</v>
      </c>
    </row>
    <row r="696" spans="1:16" x14ac:dyDescent="0.35">
      <c r="A696" t="s">
        <v>1016</v>
      </c>
      <c r="B696" s="1">
        <v>45419</v>
      </c>
      <c r="C696" s="1">
        <v>45426</v>
      </c>
      <c r="D696" t="s">
        <v>44</v>
      </c>
      <c r="E696" t="s">
        <v>535</v>
      </c>
      <c r="F696" t="s">
        <v>35</v>
      </c>
      <c r="G696" t="s">
        <v>82</v>
      </c>
      <c r="H696" t="s">
        <v>46</v>
      </c>
      <c r="I696" t="s">
        <v>22</v>
      </c>
      <c r="J696" t="s">
        <v>74</v>
      </c>
      <c r="K696" t="s">
        <v>75</v>
      </c>
      <c r="L696">
        <v>11</v>
      </c>
      <c r="M696">
        <v>586.41999999999996</v>
      </c>
      <c r="N696">
        <v>0.1</v>
      </c>
      <c r="O696">
        <v>6450.62</v>
      </c>
      <c r="P696">
        <v>1572.09</v>
      </c>
    </row>
    <row r="697" spans="1:16" x14ac:dyDescent="0.35">
      <c r="A697" t="s">
        <v>1017</v>
      </c>
      <c r="B697" s="1">
        <v>45289</v>
      </c>
      <c r="C697" s="1">
        <v>45296</v>
      </c>
      <c r="D697" t="s">
        <v>44</v>
      </c>
      <c r="E697" t="s">
        <v>510</v>
      </c>
      <c r="F697" t="s">
        <v>19</v>
      </c>
      <c r="G697" t="s">
        <v>211</v>
      </c>
      <c r="H697" t="s">
        <v>159</v>
      </c>
      <c r="I697" t="s">
        <v>22</v>
      </c>
      <c r="J697" t="s">
        <v>115</v>
      </c>
      <c r="K697" t="s">
        <v>147</v>
      </c>
      <c r="L697">
        <v>4</v>
      </c>
      <c r="M697">
        <v>489.83</v>
      </c>
      <c r="N697">
        <v>0</v>
      </c>
      <c r="O697">
        <v>1959.32</v>
      </c>
      <c r="P697">
        <v>641.16</v>
      </c>
    </row>
    <row r="698" spans="1:16" x14ac:dyDescent="0.35">
      <c r="A698" t="s">
        <v>1018</v>
      </c>
      <c r="B698" s="1">
        <v>45558</v>
      </c>
      <c r="C698" s="1">
        <v>45563</v>
      </c>
      <c r="D698" t="s">
        <v>44</v>
      </c>
      <c r="E698" t="s">
        <v>319</v>
      </c>
      <c r="F698" t="s">
        <v>27</v>
      </c>
      <c r="G698" t="s">
        <v>187</v>
      </c>
      <c r="H698" t="s">
        <v>29</v>
      </c>
      <c r="I698" t="s">
        <v>30</v>
      </c>
      <c r="J698" t="s">
        <v>41</v>
      </c>
      <c r="K698" t="s">
        <v>191</v>
      </c>
      <c r="L698">
        <v>9</v>
      </c>
      <c r="M698">
        <v>179.43</v>
      </c>
      <c r="N698">
        <v>0.15</v>
      </c>
      <c r="O698">
        <v>1614.87</v>
      </c>
      <c r="P698">
        <v>8.39</v>
      </c>
    </row>
    <row r="699" spans="1:16" x14ac:dyDescent="0.35">
      <c r="A699" t="s">
        <v>1019</v>
      </c>
      <c r="B699" s="1">
        <v>45209</v>
      </c>
      <c r="C699" s="1">
        <v>45216</v>
      </c>
      <c r="D699" t="s">
        <v>59</v>
      </c>
      <c r="E699" t="s">
        <v>227</v>
      </c>
      <c r="F699" t="s">
        <v>19</v>
      </c>
      <c r="G699" t="s">
        <v>128</v>
      </c>
      <c r="H699" t="s">
        <v>129</v>
      </c>
      <c r="I699" t="s">
        <v>30</v>
      </c>
      <c r="J699" t="s">
        <v>47</v>
      </c>
      <c r="K699" t="s">
        <v>48</v>
      </c>
      <c r="L699">
        <v>10</v>
      </c>
      <c r="M699">
        <v>899.02</v>
      </c>
      <c r="N699">
        <v>0.1</v>
      </c>
      <c r="O699">
        <v>8990.2000000000007</v>
      </c>
      <c r="P699">
        <v>2540.9</v>
      </c>
    </row>
    <row r="700" spans="1:16" x14ac:dyDescent="0.35">
      <c r="A700" t="s">
        <v>1020</v>
      </c>
      <c r="B700" s="1">
        <v>45062</v>
      </c>
      <c r="C700" s="1">
        <v>45066</v>
      </c>
      <c r="D700" t="s">
        <v>65</v>
      </c>
      <c r="E700" t="s">
        <v>381</v>
      </c>
      <c r="F700" t="s">
        <v>35</v>
      </c>
      <c r="G700" t="s">
        <v>181</v>
      </c>
      <c r="H700" t="s">
        <v>123</v>
      </c>
      <c r="I700" t="s">
        <v>30</v>
      </c>
      <c r="J700" t="s">
        <v>41</v>
      </c>
      <c r="K700" t="s">
        <v>191</v>
      </c>
      <c r="L700">
        <v>6</v>
      </c>
      <c r="M700">
        <v>875.23</v>
      </c>
      <c r="N700">
        <v>0</v>
      </c>
      <c r="O700">
        <v>5251.38</v>
      </c>
      <c r="P700">
        <v>-574.61</v>
      </c>
    </row>
    <row r="701" spans="1:16" x14ac:dyDescent="0.35">
      <c r="A701" t="s">
        <v>1021</v>
      </c>
      <c r="B701" s="1">
        <v>45038</v>
      </c>
      <c r="C701" s="1">
        <v>45040</v>
      </c>
      <c r="E701" t="s">
        <v>397</v>
      </c>
      <c r="F701" t="s">
        <v>27</v>
      </c>
      <c r="G701" t="s">
        <v>20</v>
      </c>
      <c r="H701" t="s">
        <v>21</v>
      </c>
      <c r="I701" t="s">
        <v>52</v>
      </c>
      <c r="J701" t="s">
        <v>194</v>
      </c>
      <c r="K701" t="s">
        <v>361</v>
      </c>
      <c r="L701">
        <v>5</v>
      </c>
      <c r="M701">
        <v>377.8</v>
      </c>
      <c r="N701">
        <v>0.2</v>
      </c>
      <c r="O701">
        <v>1889</v>
      </c>
      <c r="P701">
        <v>228.04</v>
      </c>
    </row>
    <row r="702" spans="1:16" x14ac:dyDescent="0.35">
      <c r="A702" t="s">
        <v>1022</v>
      </c>
      <c r="B702" s="1">
        <v>45501</v>
      </c>
      <c r="C702" s="1">
        <v>45505</v>
      </c>
      <c r="D702" t="s">
        <v>65</v>
      </c>
      <c r="E702" t="s">
        <v>297</v>
      </c>
      <c r="F702" t="s">
        <v>19</v>
      </c>
      <c r="G702" t="s">
        <v>132</v>
      </c>
      <c r="H702" t="s">
        <v>112</v>
      </c>
      <c r="I702" t="s">
        <v>22</v>
      </c>
      <c r="J702" t="s">
        <v>23</v>
      </c>
      <c r="K702" t="s">
        <v>178</v>
      </c>
      <c r="L702">
        <v>4</v>
      </c>
      <c r="M702">
        <v>782.01</v>
      </c>
      <c r="N702">
        <v>0</v>
      </c>
      <c r="O702">
        <v>3128.04</v>
      </c>
      <c r="P702">
        <v>836.68</v>
      </c>
    </row>
    <row r="703" spans="1:16" x14ac:dyDescent="0.35">
      <c r="A703" t="s">
        <v>1013</v>
      </c>
      <c r="B703" s="1">
        <v>45568</v>
      </c>
      <c r="C703" s="1">
        <v>45571</v>
      </c>
      <c r="D703" t="s">
        <v>59</v>
      </c>
      <c r="E703" t="s">
        <v>326</v>
      </c>
      <c r="F703" t="s">
        <v>35</v>
      </c>
      <c r="G703" t="s">
        <v>20</v>
      </c>
      <c r="H703" t="s">
        <v>21</v>
      </c>
      <c r="I703" t="s">
        <v>52</v>
      </c>
      <c r="J703" t="s">
        <v>194</v>
      </c>
      <c r="K703" t="s">
        <v>306</v>
      </c>
      <c r="L703">
        <v>9</v>
      </c>
      <c r="M703">
        <v>715.73</v>
      </c>
      <c r="N703">
        <v>0</v>
      </c>
      <c r="O703">
        <v>6441.57</v>
      </c>
      <c r="P703">
        <v>1532.29</v>
      </c>
    </row>
    <row r="704" spans="1:16" x14ac:dyDescent="0.35">
      <c r="A704" t="s">
        <v>1023</v>
      </c>
      <c r="B704" s="1">
        <v>44970</v>
      </c>
      <c r="C704" s="1">
        <v>44974</v>
      </c>
      <c r="D704" t="s">
        <v>17</v>
      </c>
      <c r="E704" t="s">
        <v>131</v>
      </c>
      <c r="F704" t="s">
        <v>27</v>
      </c>
      <c r="G704" t="s">
        <v>107</v>
      </c>
      <c r="H704" t="s">
        <v>83</v>
      </c>
      <c r="I704" t="s">
        <v>52</v>
      </c>
      <c r="J704" t="s">
        <v>78</v>
      </c>
      <c r="K704" t="s">
        <v>79</v>
      </c>
      <c r="L704">
        <v>11</v>
      </c>
      <c r="M704">
        <v>386.86</v>
      </c>
      <c r="N704">
        <v>0</v>
      </c>
      <c r="O704">
        <v>4255.46</v>
      </c>
      <c r="P704">
        <v>-181.46</v>
      </c>
    </row>
    <row r="705" spans="1:16" x14ac:dyDescent="0.35">
      <c r="A705" t="s">
        <v>1024</v>
      </c>
      <c r="B705" s="1">
        <v>45104</v>
      </c>
      <c r="C705" s="1">
        <v>45109</v>
      </c>
      <c r="D705" t="s">
        <v>17</v>
      </c>
      <c r="E705" t="s">
        <v>1025</v>
      </c>
      <c r="F705" t="s">
        <v>27</v>
      </c>
      <c r="G705" t="s">
        <v>72</v>
      </c>
      <c r="H705" t="s">
        <v>73</v>
      </c>
      <c r="I705" t="s">
        <v>22</v>
      </c>
      <c r="J705" t="s">
        <v>74</v>
      </c>
      <c r="K705" t="s">
        <v>75</v>
      </c>
      <c r="L705">
        <v>3</v>
      </c>
      <c r="M705">
        <v>650.9</v>
      </c>
      <c r="N705">
        <v>0</v>
      </c>
      <c r="O705">
        <v>1952.7</v>
      </c>
      <c r="P705">
        <v>121.08</v>
      </c>
    </row>
    <row r="706" spans="1:16" x14ac:dyDescent="0.35">
      <c r="A706" t="s">
        <v>1026</v>
      </c>
      <c r="B706" s="1">
        <v>45341</v>
      </c>
      <c r="C706" s="1">
        <v>45348</v>
      </c>
      <c r="D706" t="s">
        <v>59</v>
      </c>
      <c r="E706" t="s">
        <v>941</v>
      </c>
      <c r="F706" t="s">
        <v>27</v>
      </c>
      <c r="G706" t="s">
        <v>288</v>
      </c>
      <c r="H706" t="s">
        <v>112</v>
      </c>
      <c r="I706" t="s">
        <v>52</v>
      </c>
      <c r="J706" t="s">
        <v>160</v>
      </c>
      <c r="K706" t="s">
        <v>234</v>
      </c>
      <c r="L706">
        <v>1</v>
      </c>
      <c r="M706">
        <v>748.18</v>
      </c>
      <c r="N706">
        <v>0</v>
      </c>
      <c r="O706">
        <v>748.18</v>
      </c>
      <c r="P706">
        <v>-63.33</v>
      </c>
    </row>
    <row r="707" spans="1:16" x14ac:dyDescent="0.35">
      <c r="A707" t="s">
        <v>1027</v>
      </c>
      <c r="B707" s="1">
        <v>45195</v>
      </c>
      <c r="C707" s="1">
        <v>45197</v>
      </c>
      <c r="D707" t="s">
        <v>44</v>
      </c>
      <c r="E707" t="s">
        <v>137</v>
      </c>
      <c r="F707" t="s">
        <v>35</v>
      </c>
      <c r="G707" t="s">
        <v>181</v>
      </c>
      <c r="H707" t="s">
        <v>46</v>
      </c>
      <c r="I707" t="s">
        <v>52</v>
      </c>
      <c r="J707" t="s">
        <v>194</v>
      </c>
      <c r="K707" t="s">
        <v>306</v>
      </c>
      <c r="L707">
        <v>1</v>
      </c>
      <c r="M707">
        <v>375.3</v>
      </c>
      <c r="N707">
        <v>0.1</v>
      </c>
      <c r="O707">
        <v>375.3</v>
      </c>
      <c r="P707">
        <v>123.7</v>
      </c>
    </row>
    <row r="708" spans="1:16" x14ac:dyDescent="0.35">
      <c r="A708" t="s">
        <v>1028</v>
      </c>
      <c r="B708" s="1">
        <v>45578</v>
      </c>
      <c r="C708" s="1">
        <v>45583</v>
      </c>
      <c r="D708" t="s">
        <v>17</v>
      </c>
      <c r="E708" t="s">
        <v>615</v>
      </c>
      <c r="F708" t="s">
        <v>19</v>
      </c>
      <c r="G708" t="s">
        <v>288</v>
      </c>
      <c r="H708" t="s">
        <v>112</v>
      </c>
      <c r="I708" t="s">
        <v>52</v>
      </c>
      <c r="J708" t="s">
        <v>160</v>
      </c>
      <c r="K708" t="s">
        <v>161</v>
      </c>
      <c r="L708">
        <v>6</v>
      </c>
      <c r="M708">
        <v>518.72</v>
      </c>
      <c r="N708">
        <v>0.1</v>
      </c>
      <c r="O708">
        <v>3112.32</v>
      </c>
      <c r="P708">
        <v>632.37</v>
      </c>
    </row>
    <row r="709" spans="1:16" x14ac:dyDescent="0.35">
      <c r="A709" t="s">
        <v>1029</v>
      </c>
      <c r="B709" s="1">
        <v>44954</v>
      </c>
      <c r="C709" s="1">
        <v>44961</v>
      </c>
      <c r="D709" t="s">
        <v>44</v>
      </c>
      <c r="E709" t="s">
        <v>873</v>
      </c>
      <c r="F709" t="s">
        <v>35</v>
      </c>
      <c r="G709" t="s">
        <v>107</v>
      </c>
      <c r="H709" t="s">
        <v>46</v>
      </c>
      <c r="I709" t="s">
        <v>52</v>
      </c>
      <c r="J709" t="s">
        <v>78</v>
      </c>
      <c r="K709" t="s">
        <v>198</v>
      </c>
      <c r="L709">
        <v>3</v>
      </c>
      <c r="M709">
        <v>445.24</v>
      </c>
      <c r="N709">
        <v>0.2</v>
      </c>
      <c r="O709">
        <v>1335.72</v>
      </c>
      <c r="P709">
        <v>230.27</v>
      </c>
    </row>
    <row r="710" spans="1:16" x14ac:dyDescent="0.35">
      <c r="A710" t="s">
        <v>1030</v>
      </c>
      <c r="B710" s="1">
        <v>45567</v>
      </c>
      <c r="C710" s="1">
        <v>45569</v>
      </c>
      <c r="D710" t="s">
        <v>59</v>
      </c>
      <c r="E710" t="s">
        <v>139</v>
      </c>
      <c r="F710" t="s">
        <v>27</v>
      </c>
      <c r="G710" t="s">
        <v>67</v>
      </c>
      <c r="H710" t="s">
        <v>21</v>
      </c>
      <c r="I710" t="s">
        <v>30</v>
      </c>
      <c r="J710" t="s">
        <v>99</v>
      </c>
      <c r="K710" t="s">
        <v>247</v>
      </c>
      <c r="L710">
        <v>3</v>
      </c>
      <c r="M710">
        <v>7.39</v>
      </c>
      <c r="N710">
        <v>0.1</v>
      </c>
      <c r="O710">
        <v>22.17</v>
      </c>
      <c r="P710">
        <v>4.32</v>
      </c>
    </row>
    <row r="711" spans="1:16" x14ac:dyDescent="0.35">
      <c r="A711" t="s">
        <v>1031</v>
      </c>
      <c r="B711" s="1">
        <v>45088</v>
      </c>
      <c r="C711" s="1">
        <v>45095</v>
      </c>
      <c r="D711" t="s">
        <v>44</v>
      </c>
      <c r="E711" t="s">
        <v>400</v>
      </c>
      <c r="F711" t="s">
        <v>35</v>
      </c>
      <c r="G711" t="s">
        <v>72</v>
      </c>
      <c r="H711" t="s">
        <v>62</v>
      </c>
      <c r="I711" t="s">
        <v>52</v>
      </c>
      <c r="J711" t="s">
        <v>194</v>
      </c>
      <c r="K711" t="s">
        <v>195</v>
      </c>
      <c r="L711">
        <v>6</v>
      </c>
      <c r="M711">
        <v>237.9</v>
      </c>
      <c r="N711">
        <v>0</v>
      </c>
      <c r="O711">
        <v>1427.4</v>
      </c>
      <c r="P711">
        <v>446.93</v>
      </c>
    </row>
    <row r="712" spans="1:16" x14ac:dyDescent="0.35">
      <c r="A712" t="s">
        <v>1032</v>
      </c>
      <c r="B712" s="1">
        <v>45368</v>
      </c>
      <c r="C712" s="1">
        <v>45370</v>
      </c>
      <c r="D712" t="s">
        <v>17</v>
      </c>
      <c r="E712" t="s">
        <v>184</v>
      </c>
      <c r="F712" t="s">
        <v>19</v>
      </c>
      <c r="G712" t="s">
        <v>67</v>
      </c>
      <c r="H712" t="s">
        <v>36</v>
      </c>
      <c r="I712" t="s">
        <v>52</v>
      </c>
      <c r="J712" t="s">
        <v>160</v>
      </c>
      <c r="K712" t="s">
        <v>161</v>
      </c>
      <c r="L712">
        <v>11</v>
      </c>
      <c r="M712">
        <v>487.76</v>
      </c>
      <c r="O712">
        <v>5365.36</v>
      </c>
      <c r="P712">
        <v>471.91</v>
      </c>
    </row>
    <row r="713" spans="1:16" x14ac:dyDescent="0.35">
      <c r="A713" t="s">
        <v>1033</v>
      </c>
      <c r="B713" s="1">
        <v>45514</v>
      </c>
      <c r="C713" s="1">
        <v>45517</v>
      </c>
      <c r="D713" t="s">
        <v>17</v>
      </c>
      <c r="E713" t="s">
        <v>469</v>
      </c>
      <c r="F713" t="s">
        <v>19</v>
      </c>
      <c r="G713" t="s">
        <v>111</v>
      </c>
      <c r="H713" t="s">
        <v>112</v>
      </c>
      <c r="I713" t="s">
        <v>30</v>
      </c>
      <c r="J713" t="s">
        <v>31</v>
      </c>
      <c r="K713" t="s">
        <v>32</v>
      </c>
      <c r="L713">
        <v>5</v>
      </c>
      <c r="M713">
        <v>241.82</v>
      </c>
      <c r="N713">
        <v>0</v>
      </c>
      <c r="O713">
        <v>1209.0999999999999</v>
      </c>
      <c r="P713">
        <v>257.52999999999997</v>
      </c>
    </row>
    <row r="714" spans="1:16" x14ac:dyDescent="0.35">
      <c r="A714" t="s">
        <v>1034</v>
      </c>
      <c r="B714" s="1">
        <v>44978</v>
      </c>
      <c r="C714" s="1">
        <v>44984</v>
      </c>
      <c r="D714" t="s">
        <v>44</v>
      </c>
      <c r="E714" t="s">
        <v>681</v>
      </c>
      <c r="F714" t="s">
        <v>27</v>
      </c>
      <c r="G714" t="s">
        <v>332</v>
      </c>
      <c r="H714" t="s">
        <v>46</v>
      </c>
      <c r="I714" t="s">
        <v>22</v>
      </c>
      <c r="J714" t="s">
        <v>23</v>
      </c>
      <c r="K714" t="s">
        <v>24</v>
      </c>
      <c r="L714">
        <v>10</v>
      </c>
      <c r="M714">
        <v>637.12</v>
      </c>
      <c r="N714">
        <v>0.1</v>
      </c>
      <c r="O714">
        <v>6371.2</v>
      </c>
      <c r="P714">
        <v>-38.020000000000003</v>
      </c>
    </row>
    <row r="715" spans="1:16" x14ac:dyDescent="0.35">
      <c r="A715" t="s">
        <v>1035</v>
      </c>
      <c r="B715" s="1">
        <v>45356</v>
      </c>
      <c r="C715" s="1">
        <v>45361</v>
      </c>
      <c r="D715" t="s">
        <v>44</v>
      </c>
      <c r="E715" t="s">
        <v>518</v>
      </c>
      <c r="F715" t="s">
        <v>27</v>
      </c>
      <c r="G715" t="s">
        <v>107</v>
      </c>
      <c r="H715" t="s">
        <v>123</v>
      </c>
      <c r="I715" t="s">
        <v>30</v>
      </c>
      <c r="J715" t="s">
        <v>41</v>
      </c>
      <c r="K715" t="s">
        <v>42</v>
      </c>
      <c r="L715">
        <v>11</v>
      </c>
      <c r="M715">
        <v>634.44000000000005</v>
      </c>
      <c r="N715">
        <v>0</v>
      </c>
      <c r="O715">
        <v>6978.84</v>
      </c>
      <c r="P715">
        <v>-192.85</v>
      </c>
    </row>
    <row r="716" spans="1:16" x14ac:dyDescent="0.35">
      <c r="A716" t="s">
        <v>1036</v>
      </c>
      <c r="B716" s="1">
        <v>44993</v>
      </c>
      <c r="C716" s="1">
        <v>44995</v>
      </c>
      <c r="D716" t="s">
        <v>59</v>
      </c>
      <c r="E716" t="s">
        <v>251</v>
      </c>
      <c r="F716" t="s">
        <v>19</v>
      </c>
      <c r="G716" t="s">
        <v>72</v>
      </c>
      <c r="H716" t="s">
        <v>73</v>
      </c>
      <c r="I716" t="s">
        <v>30</v>
      </c>
      <c r="J716" t="s">
        <v>41</v>
      </c>
      <c r="K716" t="s">
        <v>42</v>
      </c>
      <c r="L716">
        <v>2</v>
      </c>
      <c r="M716">
        <v>144.84</v>
      </c>
      <c r="N716">
        <v>0.2</v>
      </c>
      <c r="O716">
        <v>289.68</v>
      </c>
      <c r="P716">
        <v>96.41</v>
      </c>
    </row>
    <row r="717" spans="1:16" x14ac:dyDescent="0.35">
      <c r="A717" t="s">
        <v>1037</v>
      </c>
      <c r="B717" s="1">
        <v>45581</v>
      </c>
      <c r="C717" s="1">
        <v>45587</v>
      </c>
      <c r="D717" t="s">
        <v>65</v>
      </c>
      <c r="E717" t="s">
        <v>71</v>
      </c>
      <c r="F717" t="s">
        <v>19</v>
      </c>
      <c r="G717" t="s">
        <v>132</v>
      </c>
      <c r="H717" t="s">
        <v>129</v>
      </c>
      <c r="I717" t="s">
        <v>22</v>
      </c>
      <c r="J717" t="s">
        <v>37</v>
      </c>
      <c r="K717" t="s">
        <v>38</v>
      </c>
      <c r="L717">
        <v>1</v>
      </c>
      <c r="M717">
        <v>229.29</v>
      </c>
      <c r="N717">
        <v>0.2</v>
      </c>
      <c r="O717">
        <v>229.29</v>
      </c>
      <c r="P717">
        <v>70.75</v>
      </c>
    </row>
    <row r="718" spans="1:16" x14ac:dyDescent="0.35">
      <c r="A718" t="s">
        <v>1038</v>
      </c>
      <c r="B718" s="1">
        <v>45500</v>
      </c>
      <c r="C718" s="1">
        <v>45504</v>
      </c>
      <c r="D718" t="s">
        <v>44</v>
      </c>
      <c r="E718" t="s">
        <v>297</v>
      </c>
      <c r="F718" t="s">
        <v>19</v>
      </c>
      <c r="G718" t="s">
        <v>103</v>
      </c>
      <c r="H718" t="s">
        <v>62</v>
      </c>
      <c r="I718" t="s">
        <v>52</v>
      </c>
      <c r="J718" t="s">
        <v>194</v>
      </c>
      <c r="K718" t="s">
        <v>361</v>
      </c>
      <c r="L718">
        <v>12</v>
      </c>
      <c r="M718">
        <v>252.1</v>
      </c>
      <c r="N718">
        <v>0</v>
      </c>
      <c r="O718">
        <v>3025.2</v>
      </c>
      <c r="P718">
        <v>979.18</v>
      </c>
    </row>
    <row r="719" spans="1:16" x14ac:dyDescent="0.35">
      <c r="A719" t="s">
        <v>1039</v>
      </c>
      <c r="B719" s="1">
        <v>45124</v>
      </c>
      <c r="C719" s="1">
        <v>45131</v>
      </c>
      <c r="D719" t="s">
        <v>44</v>
      </c>
      <c r="E719" t="s">
        <v>265</v>
      </c>
      <c r="F719" t="s">
        <v>19</v>
      </c>
      <c r="G719" t="s">
        <v>28</v>
      </c>
      <c r="H719" t="s">
        <v>159</v>
      </c>
      <c r="I719" t="s">
        <v>30</v>
      </c>
      <c r="J719" t="s">
        <v>31</v>
      </c>
      <c r="K719" t="s">
        <v>32</v>
      </c>
      <c r="L719">
        <v>5</v>
      </c>
      <c r="M719">
        <v>334.67</v>
      </c>
      <c r="N719">
        <v>0.1</v>
      </c>
      <c r="O719">
        <v>1673.35</v>
      </c>
      <c r="P719">
        <v>171.62</v>
      </c>
    </row>
    <row r="720" spans="1:16" x14ac:dyDescent="0.35">
      <c r="A720" t="s">
        <v>1040</v>
      </c>
      <c r="B720" s="1">
        <v>45620</v>
      </c>
      <c r="C720" s="1">
        <v>45623</v>
      </c>
      <c r="D720" t="s">
        <v>59</v>
      </c>
      <c r="E720" t="s">
        <v>303</v>
      </c>
      <c r="F720" t="s">
        <v>35</v>
      </c>
      <c r="G720" t="s">
        <v>28</v>
      </c>
      <c r="H720" t="s">
        <v>29</v>
      </c>
      <c r="I720" t="s">
        <v>30</v>
      </c>
      <c r="J720" t="s">
        <v>41</v>
      </c>
      <c r="K720" t="s">
        <v>191</v>
      </c>
      <c r="L720">
        <v>7</v>
      </c>
      <c r="M720">
        <v>802.77</v>
      </c>
      <c r="N720">
        <v>0</v>
      </c>
      <c r="O720">
        <v>5619.39</v>
      </c>
      <c r="P720">
        <v>480.43</v>
      </c>
    </row>
    <row r="721" spans="1:16" x14ac:dyDescent="0.35">
      <c r="A721" t="s">
        <v>1041</v>
      </c>
      <c r="B721" s="1">
        <v>44930</v>
      </c>
      <c r="C721" s="1">
        <v>44932</v>
      </c>
      <c r="D721" t="s">
        <v>59</v>
      </c>
      <c r="E721" t="s">
        <v>775</v>
      </c>
      <c r="F721" t="s">
        <v>27</v>
      </c>
      <c r="G721" t="s">
        <v>82</v>
      </c>
      <c r="H721" t="s">
        <v>83</v>
      </c>
      <c r="I721" t="s">
        <v>22</v>
      </c>
      <c r="J721" t="s">
        <v>37</v>
      </c>
      <c r="K721" t="s">
        <v>144</v>
      </c>
      <c r="L721">
        <v>4</v>
      </c>
      <c r="M721">
        <v>172.7</v>
      </c>
      <c r="N721">
        <v>0.2</v>
      </c>
      <c r="O721">
        <v>690.8</v>
      </c>
      <c r="P721">
        <v>2.19</v>
      </c>
    </row>
    <row r="722" spans="1:16" x14ac:dyDescent="0.35">
      <c r="A722" t="s">
        <v>1042</v>
      </c>
      <c r="B722" s="1">
        <v>45478</v>
      </c>
      <c r="C722" s="1">
        <v>45483</v>
      </c>
      <c r="D722" t="s">
        <v>59</v>
      </c>
      <c r="E722" t="s">
        <v>1043</v>
      </c>
      <c r="F722" t="s">
        <v>35</v>
      </c>
      <c r="G722" t="s">
        <v>82</v>
      </c>
      <c r="H722" t="s">
        <v>83</v>
      </c>
      <c r="I722" t="s">
        <v>22</v>
      </c>
      <c r="J722" t="s">
        <v>74</v>
      </c>
      <c r="K722" t="s">
        <v>75</v>
      </c>
      <c r="L722">
        <v>9</v>
      </c>
      <c r="M722">
        <v>126.88</v>
      </c>
      <c r="N722">
        <v>0</v>
      </c>
      <c r="O722">
        <v>1141.92</v>
      </c>
      <c r="P722">
        <v>-146.16</v>
      </c>
    </row>
    <row r="723" spans="1:16" x14ac:dyDescent="0.35">
      <c r="A723" t="s">
        <v>1044</v>
      </c>
      <c r="B723" s="1">
        <v>45480</v>
      </c>
      <c r="C723" s="1">
        <v>45483</v>
      </c>
      <c r="D723" t="s">
        <v>17</v>
      </c>
      <c r="E723" t="s">
        <v>368</v>
      </c>
      <c r="F723" t="s">
        <v>27</v>
      </c>
      <c r="G723" t="s">
        <v>28</v>
      </c>
      <c r="H723" t="s">
        <v>29</v>
      </c>
      <c r="I723" t="s">
        <v>22</v>
      </c>
      <c r="J723" t="s">
        <v>115</v>
      </c>
      <c r="K723" t="s">
        <v>116</v>
      </c>
      <c r="L723">
        <v>1</v>
      </c>
      <c r="M723">
        <v>801.84</v>
      </c>
      <c r="N723">
        <v>0.15</v>
      </c>
      <c r="O723">
        <v>801.84</v>
      </c>
      <c r="P723">
        <v>117.27</v>
      </c>
    </row>
    <row r="724" spans="1:16" x14ac:dyDescent="0.35">
      <c r="A724" t="s">
        <v>1045</v>
      </c>
      <c r="B724" s="1">
        <v>45624</v>
      </c>
      <c r="C724" s="1">
        <v>45630</v>
      </c>
      <c r="D724" t="s">
        <v>59</v>
      </c>
      <c r="E724" t="s">
        <v>50</v>
      </c>
      <c r="F724" t="s">
        <v>35</v>
      </c>
      <c r="G724" t="s">
        <v>211</v>
      </c>
      <c r="H724" t="s">
        <v>29</v>
      </c>
      <c r="I724" t="s">
        <v>52</v>
      </c>
      <c r="J724" t="s">
        <v>194</v>
      </c>
      <c r="K724" t="s">
        <v>306</v>
      </c>
      <c r="L724">
        <v>10</v>
      </c>
      <c r="M724">
        <v>771.08</v>
      </c>
      <c r="N724">
        <v>0.1</v>
      </c>
      <c r="O724">
        <v>7710.8</v>
      </c>
      <c r="P724">
        <v>-1002.35</v>
      </c>
    </row>
    <row r="725" spans="1:16" x14ac:dyDescent="0.35">
      <c r="A725" t="s">
        <v>1046</v>
      </c>
      <c r="B725" s="1">
        <v>45288</v>
      </c>
      <c r="C725" s="1">
        <v>45293</v>
      </c>
      <c r="D725" t="s">
        <v>59</v>
      </c>
      <c r="E725" t="s">
        <v>295</v>
      </c>
      <c r="F725" t="s">
        <v>35</v>
      </c>
      <c r="G725" t="s">
        <v>128</v>
      </c>
      <c r="H725" t="s">
        <v>112</v>
      </c>
      <c r="I725" t="s">
        <v>30</v>
      </c>
      <c r="J725" t="s">
        <v>31</v>
      </c>
      <c r="K725" t="s">
        <v>57</v>
      </c>
      <c r="L725">
        <v>1</v>
      </c>
      <c r="M725">
        <v>132.79</v>
      </c>
      <c r="N725">
        <v>0.15</v>
      </c>
      <c r="O725">
        <v>132.79</v>
      </c>
      <c r="P725">
        <v>25.1</v>
      </c>
    </row>
    <row r="726" spans="1:16" x14ac:dyDescent="0.35">
      <c r="A726" t="s">
        <v>1047</v>
      </c>
      <c r="B726" s="1">
        <v>44999</v>
      </c>
      <c r="C726" s="1">
        <v>45003</v>
      </c>
      <c r="D726" t="s">
        <v>59</v>
      </c>
      <c r="E726" t="s">
        <v>118</v>
      </c>
      <c r="F726" t="s">
        <v>27</v>
      </c>
      <c r="G726" t="s">
        <v>103</v>
      </c>
      <c r="H726" t="s">
        <v>62</v>
      </c>
      <c r="I726" t="s">
        <v>30</v>
      </c>
      <c r="J726" t="s">
        <v>47</v>
      </c>
      <c r="K726" t="s">
        <v>48</v>
      </c>
      <c r="L726">
        <v>1</v>
      </c>
      <c r="M726">
        <v>449.45</v>
      </c>
      <c r="N726">
        <v>0</v>
      </c>
      <c r="O726">
        <v>449.45</v>
      </c>
      <c r="P726">
        <v>78.73</v>
      </c>
    </row>
    <row r="727" spans="1:16" x14ac:dyDescent="0.35">
      <c r="A727" t="s">
        <v>1048</v>
      </c>
      <c r="B727" s="1">
        <v>45119</v>
      </c>
      <c r="C727" s="1">
        <v>45120</v>
      </c>
      <c r="D727" t="s">
        <v>44</v>
      </c>
      <c r="E727" t="s">
        <v>847</v>
      </c>
      <c r="F727" t="s">
        <v>27</v>
      </c>
      <c r="G727" t="s">
        <v>20</v>
      </c>
      <c r="H727" t="s">
        <v>36</v>
      </c>
      <c r="I727" t="s">
        <v>30</v>
      </c>
      <c r="J727" t="s">
        <v>47</v>
      </c>
      <c r="K727" t="s">
        <v>48</v>
      </c>
      <c r="L727">
        <v>10</v>
      </c>
      <c r="M727">
        <v>438.66</v>
      </c>
      <c r="O727">
        <v>4386.6000000000004</v>
      </c>
      <c r="P727">
        <v>685.61</v>
      </c>
    </row>
    <row r="728" spans="1:16" x14ac:dyDescent="0.35">
      <c r="A728" t="s">
        <v>1049</v>
      </c>
      <c r="B728" s="1">
        <v>45353</v>
      </c>
      <c r="C728" s="1">
        <v>45360</v>
      </c>
      <c r="D728" t="s">
        <v>59</v>
      </c>
      <c r="E728" t="s">
        <v>77</v>
      </c>
      <c r="F728" t="s">
        <v>35</v>
      </c>
      <c r="G728" t="s">
        <v>288</v>
      </c>
      <c r="H728" t="s">
        <v>112</v>
      </c>
      <c r="I728" t="s">
        <v>52</v>
      </c>
      <c r="J728" t="s">
        <v>78</v>
      </c>
      <c r="K728" t="s">
        <v>198</v>
      </c>
      <c r="L728">
        <v>1</v>
      </c>
      <c r="M728">
        <v>524.58000000000004</v>
      </c>
      <c r="N728">
        <v>0</v>
      </c>
      <c r="O728">
        <v>524.58000000000004</v>
      </c>
      <c r="P728">
        <v>90.52</v>
      </c>
    </row>
    <row r="729" spans="1:16" x14ac:dyDescent="0.35">
      <c r="A729" t="s">
        <v>1050</v>
      </c>
      <c r="B729" s="1">
        <v>45173</v>
      </c>
      <c r="C729" s="1">
        <v>45178</v>
      </c>
      <c r="D729" t="s">
        <v>59</v>
      </c>
      <c r="E729" t="s">
        <v>758</v>
      </c>
      <c r="F729" t="s">
        <v>35</v>
      </c>
      <c r="G729" t="s">
        <v>82</v>
      </c>
      <c r="H729" t="s">
        <v>46</v>
      </c>
      <c r="I729" t="s">
        <v>30</v>
      </c>
      <c r="J729" t="s">
        <v>41</v>
      </c>
      <c r="K729" t="s">
        <v>42</v>
      </c>
      <c r="L729">
        <v>6</v>
      </c>
      <c r="M729">
        <v>812.91</v>
      </c>
      <c r="N729">
        <v>0</v>
      </c>
      <c r="O729">
        <v>4877.46</v>
      </c>
      <c r="P729">
        <v>780.02</v>
      </c>
    </row>
    <row r="730" spans="1:16" x14ac:dyDescent="0.35">
      <c r="A730" t="s">
        <v>1051</v>
      </c>
      <c r="B730" s="1">
        <v>45109</v>
      </c>
      <c r="C730" s="1">
        <v>45116</v>
      </c>
      <c r="D730" t="s">
        <v>59</v>
      </c>
      <c r="E730" t="s">
        <v>562</v>
      </c>
      <c r="F730" t="s">
        <v>19</v>
      </c>
      <c r="G730" t="s">
        <v>67</v>
      </c>
      <c r="H730" t="s">
        <v>21</v>
      </c>
      <c r="I730" t="s">
        <v>22</v>
      </c>
      <c r="J730" t="s">
        <v>23</v>
      </c>
      <c r="K730" t="s">
        <v>24</v>
      </c>
      <c r="L730">
        <v>8</v>
      </c>
      <c r="M730">
        <v>569.04</v>
      </c>
      <c r="N730">
        <v>0.1</v>
      </c>
      <c r="O730">
        <v>4552.32</v>
      </c>
      <c r="P730">
        <v>37.340000000000003</v>
      </c>
    </row>
    <row r="731" spans="1:16" x14ac:dyDescent="0.35">
      <c r="A731" t="s">
        <v>1052</v>
      </c>
      <c r="B731" s="1">
        <v>45498</v>
      </c>
      <c r="C731" s="1">
        <v>45503</v>
      </c>
      <c r="D731" t="s">
        <v>17</v>
      </c>
      <c r="E731" t="s">
        <v>1053</v>
      </c>
      <c r="F731" t="s">
        <v>35</v>
      </c>
      <c r="G731" t="s">
        <v>67</v>
      </c>
      <c r="H731" t="s">
        <v>36</v>
      </c>
      <c r="I731" t="s">
        <v>22</v>
      </c>
      <c r="J731" t="s">
        <v>23</v>
      </c>
      <c r="K731" t="s">
        <v>289</v>
      </c>
      <c r="L731">
        <v>11</v>
      </c>
      <c r="M731">
        <v>254.67</v>
      </c>
      <c r="N731">
        <v>0.15</v>
      </c>
      <c r="O731">
        <v>2801.37</v>
      </c>
      <c r="P731">
        <v>669.94</v>
      </c>
    </row>
    <row r="732" spans="1:16" x14ac:dyDescent="0.35">
      <c r="A732" t="s">
        <v>1054</v>
      </c>
      <c r="B732" s="1">
        <v>45019</v>
      </c>
      <c r="C732" s="1">
        <v>45022</v>
      </c>
      <c r="D732" t="s">
        <v>17</v>
      </c>
      <c r="E732" t="s">
        <v>137</v>
      </c>
      <c r="F732" t="s">
        <v>27</v>
      </c>
      <c r="G732" t="s">
        <v>67</v>
      </c>
      <c r="H732" t="s">
        <v>21</v>
      </c>
      <c r="I732" t="s">
        <v>22</v>
      </c>
      <c r="J732" t="s">
        <v>74</v>
      </c>
      <c r="K732" t="s">
        <v>165</v>
      </c>
      <c r="L732">
        <v>11</v>
      </c>
      <c r="M732">
        <v>329.83</v>
      </c>
      <c r="N732">
        <v>0.15</v>
      </c>
      <c r="O732">
        <v>3628.13</v>
      </c>
      <c r="P732">
        <v>738.83</v>
      </c>
    </row>
    <row r="733" spans="1:16" x14ac:dyDescent="0.35">
      <c r="A733" t="s">
        <v>1055</v>
      </c>
      <c r="B733" s="1">
        <v>45203</v>
      </c>
      <c r="C733" s="1">
        <v>45209</v>
      </c>
      <c r="D733" t="s">
        <v>59</v>
      </c>
      <c r="E733" t="s">
        <v>1056</v>
      </c>
      <c r="F733" t="s">
        <v>27</v>
      </c>
      <c r="G733" t="s">
        <v>103</v>
      </c>
      <c r="H733" t="s">
        <v>73</v>
      </c>
      <c r="I733" t="s">
        <v>52</v>
      </c>
      <c r="J733" t="s">
        <v>194</v>
      </c>
      <c r="K733" t="s">
        <v>195</v>
      </c>
      <c r="L733">
        <v>8</v>
      </c>
      <c r="M733">
        <v>32.659999999999997</v>
      </c>
      <c r="N733">
        <v>0.15</v>
      </c>
      <c r="O733">
        <v>261.27999999999997</v>
      </c>
      <c r="P733">
        <v>57.61</v>
      </c>
    </row>
    <row r="734" spans="1:16" x14ac:dyDescent="0.35">
      <c r="A734" t="s">
        <v>1057</v>
      </c>
      <c r="B734" s="1">
        <v>45259</v>
      </c>
      <c r="C734" s="1">
        <v>45264</v>
      </c>
      <c r="D734" t="s">
        <v>17</v>
      </c>
      <c r="E734" t="s">
        <v>351</v>
      </c>
      <c r="F734" t="s">
        <v>27</v>
      </c>
      <c r="G734" t="s">
        <v>211</v>
      </c>
      <c r="H734" t="s">
        <v>29</v>
      </c>
      <c r="I734" t="s">
        <v>22</v>
      </c>
      <c r="J734" t="s">
        <v>74</v>
      </c>
      <c r="K734" t="s">
        <v>75</v>
      </c>
      <c r="L734">
        <v>11</v>
      </c>
      <c r="M734">
        <v>353.46</v>
      </c>
      <c r="N734">
        <v>0.15</v>
      </c>
      <c r="O734">
        <v>3888.06</v>
      </c>
      <c r="P734">
        <v>1095.3399999999999</v>
      </c>
    </row>
    <row r="735" spans="1:16" x14ac:dyDescent="0.35">
      <c r="A735" t="s">
        <v>1058</v>
      </c>
      <c r="B735" s="1">
        <v>45591</v>
      </c>
      <c r="C735" s="1">
        <v>45593</v>
      </c>
      <c r="D735" t="s">
        <v>17</v>
      </c>
      <c r="E735" t="s">
        <v>301</v>
      </c>
      <c r="F735" t="s">
        <v>19</v>
      </c>
      <c r="G735" t="s">
        <v>332</v>
      </c>
      <c r="H735" t="s">
        <v>83</v>
      </c>
      <c r="I735" t="s">
        <v>52</v>
      </c>
      <c r="J735" t="s">
        <v>194</v>
      </c>
      <c r="K735" t="s">
        <v>306</v>
      </c>
      <c r="L735">
        <v>1</v>
      </c>
      <c r="M735">
        <v>196.01</v>
      </c>
      <c r="N735">
        <v>0</v>
      </c>
      <c r="O735">
        <v>196.01</v>
      </c>
      <c r="P735">
        <v>-16.399999999999999</v>
      </c>
    </row>
    <row r="736" spans="1:16" x14ac:dyDescent="0.35">
      <c r="A736" t="s">
        <v>1059</v>
      </c>
      <c r="B736" s="1">
        <v>45133</v>
      </c>
      <c r="C736" s="1">
        <v>45134</v>
      </c>
      <c r="D736" t="s">
        <v>44</v>
      </c>
      <c r="E736" t="s">
        <v>461</v>
      </c>
      <c r="F736" t="s">
        <v>19</v>
      </c>
      <c r="G736" t="s">
        <v>187</v>
      </c>
      <c r="H736" t="s">
        <v>159</v>
      </c>
      <c r="I736" t="s">
        <v>52</v>
      </c>
      <c r="J736" t="s">
        <v>53</v>
      </c>
      <c r="K736" t="s">
        <v>54</v>
      </c>
      <c r="L736">
        <v>10</v>
      </c>
      <c r="M736">
        <v>791.92</v>
      </c>
      <c r="N736">
        <v>0.1</v>
      </c>
      <c r="O736">
        <v>7919.2</v>
      </c>
      <c r="P736">
        <v>644.21</v>
      </c>
    </row>
    <row r="737" spans="1:16" x14ac:dyDescent="0.35">
      <c r="A737" t="s">
        <v>1060</v>
      </c>
      <c r="B737" s="1">
        <v>44943</v>
      </c>
      <c r="C737" s="1">
        <v>44945</v>
      </c>
      <c r="D737" t="s">
        <v>65</v>
      </c>
      <c r="E737" t="s">
        <v>285</v>
      </c>
      <c r="F737" t="s">
        <v>19</v>
      </c>
      <c r="G737" t="s">
        <v>28</v>
      </c>
      <c r="H737" t="s">
        <v>29</v>
      </c>
      <c r="I737" t="s">
        <v>30</v>
      </c>
      <c r="J737" t="s">
        <v>99</v>
      </c>
      <c r="K737" t="s">
        <v>154</v>
      </c>
      <c r="L737">
        <v>9</v>
      </c>
      <c r="M737">
        <v>872.31</v>
      </c>
      <c r="N737">
        <v>0.2</v>
      </c>
      <c r="O737">
        <v>7850.79</v>
      </c>
      <c r="P737">
        <v>-667.36</v>
      </c>
    </row>
    <row r="738" spans="1:16" x14ac:dyDescent="0.35">
      <c r="A738" t="s">
        <v>1061</v>
      </c>
      <c r="B738" s="1">
        <v>45505</v>
      </c>
      <c r="C738" s="1">
        <v>45511</v>
      </c>
      <c r="D738" t="s">
        <v>17</v>
      </c>
      <c r="E738" t="s">
        <v>469</v>
      </c>
      <c r="F738" t="s">
        <v>35</v>
      </c>
      <c r="G738" t="s">
        <v>103</v>
      </c>
      <c r="H738" t="s">
        <v>62</v>
      </c>
      <c r="I738" t="s">
        <v>30</v>
      </c>
      <c r="J738" t="s">
        <v>31</v>
      </c>
      <c r="K738" t="s">
        <v>87</v>
      </c>
      <c r="L738">
        <v>2</v>
      </c>
      <c r="M738">
        <v>873.42</v>
      </c>
      <c r="N738">
        <v>0</v>
      </c>
      <c r="O738">
        <v>1746.84</v>
      </c>
      <c r="P738">
        <v>-85.01</v>
      </c>
    </row>
    <row r="739" spans="1:16" x14ac:dyDescent="0.35">
      <c r="A739" t="s">
        <v>1059</v>
      </c>
      <c r="B739" s="1">
        <v>45133</v>
      </c>
      <c r="C739" s="1">
        <v>45134</v>
      </c>
      <c r="D739" t="s">
        <v>44</v>
      </c>
      <c r="E739" t="s">
        <v>461</v>
      </c>
      <c r="F739" t="s">
        <v>19</v>
      </c>
      <c r="G739" t="s">
        <v>187</v>
      </c>
      <c r="H739" t="s">
        <v>159</v>
      </c>
      <c r="I739" t="s">
        <v>52</v>
      </c>
      <c r="J739" t="s">
        <v>53</v>
      </c>
      <c r="K739" t="s">
        <v>54</v>
      </c>
      <c r="L739">
        <v>10</v>
      </c>
      <c r="M739">
        <v>791.92</v>
      </c>
      <c r="N739">
        <v>0.1</v>
      </c>
      <c r="O739">
        <v>7919.2</v>
      </c>
      <c r="P739">
        <v>644.21</v>
      </c>
    </row>
    <row r="740" spans="1:16" x14ac:dyDescent="0.35">
      <c r="A740" t="s">
        <v>244</v>
      </c>
      <c r="B740" s="1">
        <v>45010</v>
      </c>
      <c r="C740" s="1">
        <v>45015</v>
      </c>
      <c r="D740" t="s">
        <v>17</v>
      </c>
      <c r="E740" t="s">
        <v>135</v>
      </c>
      <c r="F740" t="s">
        <v>19</v>
      </c>
      <c r="G740" t="s">
        <v>86</v>
      </c>
      <c r="H740" t="s">
        <v>29</v>
      </c>
      <c r="I740" t="s">
        <v>22</v>
      </c>
      <c r="J740" t="s">
        <v>37</v>
      </c>
      <c r="K740" t="s">
        <v>38</v>
      </c>
      <c r="L740">
        <v>5</v>
      </c>
      <c r="M740">
        <v>505.24</v>
      </c>
      <c r="N740">
        <v>0.2</v>
      </c>
      <c r="O740">
        <v>2526.1999999999998</v>
      </c>
      <c r="P740">
        <v>621.02</v>
      </c>
    </row>
    <row r="741" spans="1:16" x14ac:dyDescent="0.35">
      <c r="A741" t="s">
        <v>647</v>
      </c>
      <c r="B741" s="1">
        <v>45479</v>
      </c>
      <c r="C741" s="1">
        <v>45485</v>
      </c>
      <c r="D741" t="s">
        <v>59</v>
      </c>
      <c r="E741" t="s">
        <v>202</v>
      </c>
      <c r="F741" t="s">
        <v>19</v>
      </c>
      <c r="G741" t="s">
        <v>90</v>
      </c>
      <c r="H741" t="s">
        <v>73</v>
      </c>
      <c r="I741" t="s">
        <v>22</v>
      </c>
      <c r="J741" t="s">
        <v>74</v>
      </c>
      <c r="K741" t="s">
        <v>253</v>
      </c>
      <c r="L741">
        <v>2</v>
      </c>
      <c r="M741">
        <v>698.29</v>
      </c>
      <c r="N741">
        <v>0</v>
      </c>
      <c r="O741">
        <v>1396.58</v>
      </c>
      <c r="P741">
        <v>219.16</v>
      </c>
    </row>
    <row r="742" spans="1:16" x14ac:dyDescent="0.35">
      <c r="A742" t="s">
        <v>1062</v>
      </c>
      <c r="B742" s="1">
        <v>45063</v>
      </c>
      <c r="C742" s="1">
        <v>45066</v>
      </c>
      <c r="D742" t="s">
        <v>17</v>
      </c>
      <c r="E742" t="s">
        <v>207</v>
      </c>
      <c r="F742" t="s">
        <v>35</v>
      </c>
      <c r="G742" t="s">
        <v>86</v>
      </c>
      <c r="H742" t="s">
        <v>29</v>
      </c>
      <c r="I742" t="s">
        <v>30</v>
      </c>
      <c r="J742" t="s">
        <v>41</v>
      </c>
      <c r="K742" t="s">
        <v>105</v>
      </c>
      <c r="L742">
        <v>7</v>
      </c>
      <c r="M742">
        <v>789.37</v>
      </c>
      <c r="N742">
        <v>0.3</v>
      </c>
      <c r="O742">
        <v>5525.59</v>
      </c>
      <c r="P742">
        <v>1614.42</v>
      </c>
    </row>
    <row r="743" spans="1:16" x14ac:dyDescent="0.35">
      <c r="A743" t="s">
        <v>1063</v>
      </c>
      <c r="B743" s="1">
        <v>45064</v>
      </c>
      <c r="C743" s="1">
        <v>45067</v>
      </c>
      <c r="D743" t="s">
        <v>59</v>
      </c>
      <c r="E743" t="s">
        <v>386</v>
      </c>
      <c r="F743" t="s">
        <v>27</v>
      </c>
      <c r="G743" t="s">
        <v>332</v>
      </c>
      <c r="H743" t="s">
        <v>83</v>
      </c>
      <c r="I743" t="s">
        <v>52</v>
      </c>
      <c r="J743" t="s">
        <v>53</v>
      </c>
      <c r="K743" t="s">
        <v>91</v>
      </c>
      <c r="L743">
        <v>4</v>
      </c>
      <c r="M743">
        <v>512.20000000000005</v>
      </c>
      <c r="N743">
        <v>0.15</v>
      </c>
      <c r="O743">
        <v>2048.8000000000002</v>
      </c>
      <c r="P743">
        <v>48.83</v>
      </c>
    </row>
    <row r="744" spans="1:16" x14ac:dyDescent="0.35">
      <c r="A744" t="s">
        <v>1064</v>
      </c>
      <c r="B744" s="1">
        <v>45418</v>
      </c>
      <c r="C744" s="1">
        <v>45421</v>
      </c>
      <c r="D744" t="s">
        <v>59</v>
      </c>
      <c r="E744" t="s">
        <v>66</v>
      </c>
      <c r="F744" t="s">
        <v>27</v>
      </c>
      <c r="G744" t="s">
        <v>128</v>
      </c>
      <c r="H744" t="s">
        <v>129</v>
      </c>
      <c r="I744" t="s">
        <v>52</v>
      </c>
      <c r="J744" t="s">
        <v>53</v>
      </c>
      <c r="K744" t="s">
        <v>54</v>
      </c>
      <c r="L744">
        <v>3</v>
      </c>
      <c r="M744">
        <v>43.22</v>
      </c>
      <c r="N744">
        <v>0</v>
      </c>
      <c r="O744">
        <v>129.66</v>
      </c>
      <c r="P744">
        <v>7.11</v>
      </c>
    </row>
    <row r="745" spans="1:16" x14ac:dyDescent="0.35">
      <c r="A745" t="s">
        <v>884</v>
      </c>
      <c r="B745" s="1">
        <v>45515</v>
      </c>
      <c r="C745" s="1">
        <v>45518</v>
      </c>
      <c r="D745" t="s">
        <v>17</v>
      </c>
      <c r="E745" t="s">
        <v>518</v>
      </c>
      <c r="F745" t="s">
        <v>19</v>
      </c>
      <c r="G745" t="s">
        <v>132</v>
      </c>
      <c r="H745" t="s">
        <v>129</v>
      </c>
      <c r="I745" t="s">
        <v>30</v>
      </c>
      <c r="J745" t="s">
        <v>47</v>
      </c>
      <c r="K745" t="s">
        <v>63</v>
      </c>
      <c r="L745">
        <v>1</v>
      </c>
      <c r="M745">
        <v>436.36</v>
      </c>
      <c r="N745">
        <v>0</v>
      </c>
      <c r="O745">
        <v>436.36</v>
      </c>
      <c r="P745">
        <v>-50.72</v>
      </c>
    </row>
    <row r="746" spans="1:16" x14ac:dyDescent="0.35">
      <c r="A746" t="s">
        <v>1065</v>
      </c>
      <c r="B746" s="1">
        <v>45591</v>
      </c>
      <c r="C746" s="1">
        <v>45597</v>
      </c>
      <c r="D746" t="s">
        <v>59</v>
      </c>
      <c r="E746" t="s">
        <v>221</v>
      </c>
      <c r="F746" t="s">
        <v>35</v>
      </c>
      <c r="G746" t="s">
        <v>90</v>
      </c>
      <c r="H746" t="s">
        <v>62</v>
      </c>
      <c r="I746" t="s">
        <v>30</v>
      </c>
      <c r="J746" t="s">
        <v>41</v>
      </c>
      <c r="K746" t="s">
        <v>191</v>
      </c>
      <c r="L746">
        <v>2</v>
      </c>
      <c r="M746">
        <v>575.02</v>
      </c>
      <c r="N746">
        <v>0.15</v>
      </c>
      <c r="O746">
        <v>1150.04</v>
      </c>
      <c r="P746">
        <v>87.84</v>
      </c>
    </row>
    <row r="747" spans="1:16" x14ac:dyDescent="0.35">
      <c r="A747" t="s">
        <v>1066</v>
      </c>
      <c r="B747" s="1">
        <v>45420</v>
      </c>
      <c r="C747" s="1">
        <v>45421</v>
      </c>
      <c r="D747" t="s">
        <v>59</v>
      </c>
      <c r="E747" t="s">
        <v>1067</v>
      </c>
      <c r="F747" t="s">
        <v>19</v>
      </c>
      <c r="H747" t="s">
        <v>112</v>
      </c>
      <c r="I747" t="s">
        <v>52</v>
      </c>
      <c r="J747" t="s">
        <v>53</v>
      </c>
      <c r="K747" t="s">
        <v>54</v>
      </c>
      <c r="L747">
        <v>5</v>
      </c>
      <c r="M747">
        <v>345.5</v>
      </c>
      <c r="N747">
        <v>0</v>
      </c>
      <c r="O747">
        <v>1727.5</v>
      </c>
      <c r="P747">
        <v>132.66999999999999</v>
      </c>
    </row>
    <row r="748" spans="1:16" x14ac:dyDescent="0.35">
      <c r="A748" t="s">
        <v>1068</v>
      </c>
      <c r="B748" s="1">
        <v>44950</v>
      </c>
      <c r="C748" s="1">
        <v>44953</v>
      </c>
      <c r="D748" t="s">
        <v>44</v>
      </c>
      <c r="E748" t="s">
        <v>207</v>
      </c>
      <c r="F748" t="s">
        <v>19</v>
      </c>
      <c r="G748" t="s">
        <v>132</v>
      </c>
      <c r="H748" t="s">
        <v>129</v>
      </c>
      <c r="I748" t="s">
        <v>30</v>
      </c>
      <c r="J748" t="s">
        <v>99</v>
      </c>
      <c r="K748" t="s">
        <v>154</v>
      </c>
      <c r="L748">
        <v>5</v>
      </c>
      <c r="M748">
        <v>173.69</v>
      </c>
      <c r="N748">
        <v>0.2</v>
      </c>
      <c r="O748">
        <v>868.45</v>
      </c>
      <c r="P748">
        <v>202.13</v>
      </c>
    </row>
    <row r="749" spans="1:16" x14ac:dyDescent="0.35">
      <c r="A749" t="s">
        <v>1069</v>
      </c>
      <c r="B749" s="1">
        <v>45343</v>
      </c>
      <c r="C749" s="1">
        <v>45345</v>
      </c>
      <c r="D749" t="s">
        <v>44</v>
      </c>
      <c r="E749" t="s">
        <v>403</v>
      </c>
      <c r="F749" t="s">
        <v>35</v>
      </c>
      <c r="G749" t="s">
        <v>187</v>
      </c>
      <c r="H749" t="s">
        <v>29</v>
      </c>
      <c r="I749" t="s">
        <v>22</v>
      </c>
      <c r="J749" t="s">
        <v>115</v>
      </c>
      <c r="K749" t="s">
        <v>147</v>
      </c>
      <c r="L749">
        <v>3</v>
      </c>
      <c r="M749">
        <v>117.56</v>
      </c>
      <c r="N749">
        <v>0</v>
      </c>
      <c r="O749">
        <v>352.68</v>
      </c>
      <c r="P749">
        <v>-5.68</v>
      </c>
    </row>
    <row r="750" spans="1:16" x14ac:dyDescent="0.35">
      <c r="A750" t="s">
        <v>1070</v>
      </c>
      <c r="B750" s="1">
        <v>45475</v>
      </c>
      <c r="C750" s="1">
        <v>45479</v>
      </c>
      <c r="E750" t="s">
        <v>141</v>
      </c>
      <c r="F750" t="s">
        <v>19</v>
      </c>
      <c r="G750" t="s">
        <v>86</v>
      </c>
      <c r="H750" t="s">
        <v>159</v>
      </c>
      <c r="I750" t="s">
        <v>52</v>
      </c>
      <c r="J750" t="s">
        <v>68</v>
      </c>
      <c r="K750" t="s">
        <v>216</v>
      </c>
      <c r="L750">
        <v>12</v>
      </c>
      <c r="M750">
        <v>227.59</v>
      </c>
      <c r="N750">
        <v>0</v>
      </c>
      <c r="O750">
        <v>2731.08</v>
      </c>
      <c r="P750">
        <v>-360.4</v>
      </c>
    </row>
    <row r="751" spans="1:16" x14ac:dyDescent="0.35">
      <c r="A751" t="s">
        <v>1071</v>
      </c>
      <c r="B751" s="1">
        <v>45028</v>
      </c>
      <c r="C751" s="1">
        <v>45035</v>
      </c>
      <c r="D751" t="s">
        <v>65</v>
      </c>
      <c r="E751" t="s">
        <v>239</v>
      </c>
      <c r="F751" t="s">
        <v>19</v>
      </c>
      <c r="G751" t="s">
        <v>132</v>
      </c>
      <c r="H751" t="s">
        <v>129</v>
      </c>
      <c r="I751" t="s">
        <v>30</v>
      </c>
      <c r="J751" t="s">
        <v>47</v>
      </c>
      <c r="K751" t="s">
        <v>94</v>
      </c>
      <c r="L751">
        <v>4</v>
      </c>
      <c r="M751">
        <v>770.63</v>
      </c>
      <c r="N751">
        <v>0</v>
      </c>
      <c r="O751">
        <v>3082.52</v>
      </c>
      <c r="P751">
        <v>1049.49</v>
      </c>
    </row>
    <row r="752" spans="1:16" x14ac:dyDescent="0.35">
      <c r="A752" t="s">
        <v>1072</v>
      </c>
      <c r="B752" s="1">
        <v>45483</v>
      </c>
      <c r="C752" s="1">
        <v>45488</v>
      </c>
      <c r="D752" t="s">
        <v>59</v>
      </c>
      <c r="E752" t="s">
        <v>685</v>
      </c>
      <c r="F752" t="s">
        <v>19</v>
      </c>
      <c r="G752" t="s">
        <v>111</v>
      </c>
      <c r="H752" t="s">
        <v>129</v>
      </c>
      <c r="I752" t="s">
        <v>30</v>
      </c>
      <c r="J752" t="s">
        <v>99</v>
      </c>
      <c r="K752" t="s">
        <v>208</v>
      </c>
      <c r="L752">
        <v>5</v>
      </c>
      <c r="M752">
        <v>200.51</v>
      </c>
      <c r="N752">
        <v>0.3</v>
      </c>
      <c r="O752">
        <v>1002.55</v>
      </c>
      <c r="P752">
        <v>159.55000000000001</v>
      </c>
    </row>
    <row r="753" spans="1:16" x14ac:dyDescent="0.35">
      <c r="A753" t="s">
        <v>1073</v>
      </c>
      <c r="B753" s="1">
        <v>45645</v>
      </c>
      <c r="C753" s="1">
        <v>45647</v>
      </c>
      <c r="D753" t="s">
        <v>65</v>
      </c>
      <c r="E753" t="s">
        <v>143</v>
      </c>
      <c r="F753" t="s">
        <v>35</v>
      </c>
      <c r="G753" t="s">
        <v>51</v>
      </c>
      <c r="H753" t="s">
        <v>36</v>
      </c>
      <c r="I753" t="s">
        <v>22</v>
      </c>
      <c r="J753" t="s">
        <v>74</v>
      </c>
      <c r="K753" t="s">
        <v>253</v>
      </c>
      <c r="L753">
        <v>5</v>
      </c>
      <c r="M753">
        <v>88.24</v>
      </c>
      <c r="N753">
        <v>0.2</v>
      </c>
      <c r="O753">
        <v>441.2</v>
      </c>
      <c r="P753">
        <v>99</v>
      </c>
    </row>
    <row r="754" spans="1:16" x14ac:dyDescent="0.35">
      <c r="A754" t="s">
        <v>1074</v>
      </c>
      <c r="B754" s="1">
        <v>45228</v>
      </c>
      <c r="C754" s="1">
        <v>45230</v>
      </c>
      <c r="D754" t="s">
        <v>65</v>
      </c>
      <c r="E754" t="s">
        <v>190</v>
      </c>
      <c r="F754" t="s">
        <v>27</v>
      </c>
      <c r="G754" t="s">
        <v>211</v>
      </c>
      <c r="H754" t="s">
        <v>29</v>
      </c>
      <c r="I754" t="s">
        <v>52</v>
      </c>
      <c r="J754" t="s">
        <v>68</v>
      </c>
      <c r="K754" t="s">
        <v>108</v>
      </c>
      <c r="L754">
        <v>4</v>
      </c>
      <c r="M754">
        <v>526.99</v>
      </c>
      <c r="N754">
        <v>0</v>
      </c>
      <c r="O754">
        <v>2107.96</v>
      </c>
      <c r="P754">
        <v>299.58</v>
      </c>
    </row>
    <row r="755" spans="1:16" x14ac:dyDescent="0.35">
      <c r="A755" t="s">
        <v>1075</v>
      </c>
      <c r="B755" s="1">
        <v>45078</v>
      </c>
      <c r="C755" s="1">
        <v>45083</v>
      </c>
      <c r="D755" t="s">
        <v>59</v>
      </c>
      <c r="E755" t="s">
        <v>110</v>
      </c>
      <c r="F755" t="s">
        <v>19</v>
      </c>
      <c r="G755" t="s">
        <v>20</v>
      </c>
      <c r="H755" t="s">
        <v>21</v>
      </c>
      <c r="I755" t="s">
        <v>52</v>
      </c>
      <c r="J755" t="s">
        <v>53</v>
      </c>
      <c r="K755" t="s">
        <v>91</v>
      </c>
      <c r="L755">
        <v>12</v>
      </c>
      <c r="M755">
        <v>146.68</v>
      </c>
      <c r="N755">
        <v>0.2</v>
      </c>
      <c r="O755">
        <v>1760.16</v>
      </c>
      <c r="P755">
        <v>4.17</v>
      </c>
    </row>
    <row r="756" spans="1:16" x14ac:dyDescent="0.35">
      <c r="A756" t="s">
        <v>1076</v>
      </c>
      <c r="B756" s="1">
        <v>45275</v>
      </c>
      <c r="C756" s="1">
        <v>45280</v>
      </c>
      <c r="D756" t="s">
        <v>44</v>
      </c>
      <c r="E756" t="s">
        <v>149</v>
      </c>
      <c r="F756" t="s">
        <v>27</v>
      </c>
      <c r="G756" t="s">
        <v>45</v>
      </c>
      <c r="H756" t="s">
        <v>83</v>
      </c>
      <c r="I756" t="s">
        <v>52</v>
      </c>
      <c r="J756" t="s">
        <v>160</v>
      </c>
      <c r="K756" t="s">
        <v>161</v>
      </c>
      <c r="L756">
        <v>8</v>
      </c>
      <c r="M756">
        <v>173.23</v>
      </c>
      <c r="N756">
        <v>0</v>
      </c>
      <c r="O756">
        <v>1385.84</v>
      </c>
      <c r="P756">
        <v>1.34</v>
      </c>
    </row>
    <row r="757" spans="1:16" x14ac:dyDescent="0.35">
      <c r="A757" t="s">
        <v>1077</v>
      </c>
      <c r="B757" s="1">
        <v>45585</v>
      </c>
      <c r="C757" s="1">
        <v>45586</v>
      </c>
      <c r="D757" t="s">
        <v>65</v>
      </c>
      <c r="E757" t="s">
        <v>279</v>
      </c>
      <c r="F757" t="s">
        <v>19</v>
      </c>
      <c r="G757" t="s">
        <v>332</v>
      </c>
      <c r="H757" t="s">
        <v>46</v>
      </c>
      <c r="I757" t="s">
        <v>52</v>
      </c>
      <c r="J757" t="s">
        <v>160</v>
      </c>
      <c r="K757" t="s">
        <v>634</v>
      </c>
      <c r="L757">
        <v>2</v>
      </c>
      <c r="M757">
        <v>293.29000000000002</v>
      </c>
      <c r="N757">
        <v>0</v>
      </c>
      <c r="O757">
        <v>586.58000000000004</v>
      </c>
      <c r="P757">
        <v>-68.72</v>
      </c>
    </row>
    <row r="758" spans="1:16" x14ac:dyDescent="0.35">
      <c r="A758" t="s">
        <v>1078</v>
      </c>
      <c r="B758" s="1">
        <v>44968</v>
      </c>
      <c r="C758" s="1">
        <v>44970</v>
      </c>
      <c r="D758" t="s">
        <v>17</v>
      </c>
      <c r="E758" t="s">
        <v>1079</v>
      </c>
      <c r="F758" t="s">
        <v>19</v>
      </c>
      <c r="G758" t="s">
        <v>103</v>
      </c>
      <c r="H758" t="s">
        <v>62</v>
      </c>
      <c r="I758" t="s">
        <v>52</v>
      </c>
      <c r="J758" t="s">
        <v>68</v>
      </c>
      <c r="K758" t="s">
        <v>108</v>
      </c>
      <c r="L758">
        <v>1</v>
      </c>
      <c r="M758">
        <v>151.80000000000001</v>
      </c>
      <c r="O758">
        <v>151.80000000000001</v>
      </c>
      <c r="P758">
        <v>47.24</v>
      </c>
    </row>
    <row r="759" spans="1:16" x14ac:dyDescent="0.35">
      <c r="A759" t="s">
        <v>1080</v>
      </c>
      <c r="B759" s="1">
        <v>45508</v>
      </c>
      <c r="C759" s="1">
        <v>45515</v>
      </c>
      <c r="D759" t="s">
        <v>59</v>
      </c>
      <c r="E759" t="s">
        <v>269</v>
      </c>
      <c r="F759" t="s">
        <v>35</v>
      </c>
      <c r="G759" t="s">
        <v>211</v>
      </c>
      <c r="H759" t="s">
        <v>159</v>
      </c>
      <c r="I759" t="s">
        <v>52</v>
      </c>
      <c r="J759" t="s">
        <v>68</v>
      </c>
      <c r="K759" t="s">
        <v>108</v>
      </c>
      <c r="L759">
        <v>5</v>
      </c>
      <c r="M759">
        <v>751.95</v>
      </c>
      <c r="N759">
        <v>0</v>
      </c>
      <c r="O759">
        <v>3759.75</v>
      </c>
      <c r="P759">
        <v>364.88</v>
      </c>
    </row>
    <row r="760" spans="1:16" x14ac:dyDescent="0.35">
      <c r="A760" t="s">
        <v>1081</v>
      </c>
      <c r="B760" s="1">
        <v>44977</v>
      </c>
      <c r="C760" s="1">
        <v>44981</v>
      </c>
      <c r="D760" t="s">
        <v>65</v>
      </c>
      <c r="E760" t="s">
        <v>221</v>
      </c>
      <c r="F760" t="s">
        <v>35</v>
      </c>
      <c r="G760" t="s">
        <v>51</v>
      </c>
      <c r="H760" t="s">
        <v>36</v>
      </c>
      <c r="I760" t="s">
        <v>52</v>
      </c>
      <c r="J760" t="s">
        <v>78</v>
      </c>
      <c r="K760" t="s">
        <v>79</v>
      </c>
      <c r="L760">
        <v>1</v>
      </c>
      <c r="M760">
        <v>72.010000000000005</v>
      </c>
      <c r="N760">
        <v>0.2</v>
      </c>
      <c r="O760">
        <v>72.010000000000005</v>
      </c>
      <c r="P760">
        <v>9.2100000000000009</v>
      </c>
    </row>
    <row r="761" spans="1:16" x14ac:dyDescent="0.35">
      <c r="A761" t="s">
        <v>1082</v>
      </c>
      <c r="B761" s="1">
        <v>45414</v>
      </c>
      <c r="C761" s="1">
        <v>45420</v>
      </c>
      <c r="D761" t="s">
        <v>65</v>
      </c>
      <c r="E761" t="s">
        <v>146</v>
      </c>
      <c r="F761" t="s">
        <v>35</v>
      </c>
      <c r="G761" t="s">
        <v>67</v>
      </c>
      <c r="H761" t="s">
        <v>21</v>
      </c>
      <c r="I761" t="s">
        <v>22</v>
      </c>
      <c r="J761" t="s">
        <v>74</v>
      </c>
      <c r="K761" t="s">
        <v>75</v>
      </c>
      <c r="L761">
        <v>6</v>
      </c>
      <c r="M761">
        <v>94.58</v>
      </c>
      <c r="N761">
        <v>0.15</v>
      </c>
      <c r="O761">
        <v>567.48</v>
      </c>
      <c r="P761">
        <v>80.260000000000005</v>
      </c>
    </row>
    <row r="762" spans="1:16" x14ac:dyDescent="0.35">
      <c r="A762" t="s">
        <v>1083</v>
      </c>
      <c r="B762" s="1">
        <v>45158</v>
      </c>
      <c r="C762" s="1">
        <v>45165</v>
      </c>
      <c r="D762" t="s">
        <v>44</v>
      </c>
      <c r="E762" t="s">
        <v>169</v>
      </c>
      <c r="F762" t="s">
        <v>27</v>
      </c>
      <c r="G762" t="s">
        <v>67</v>
      </c>
      <c r="H762" t="s">
        <v>21</v>
      </c>
      <c r="I762" t="s">
        <v>30</v>
      </c>
      <c r="J762" t="s">
        <v>41</v>
      </c>
      <c r="K762" t="s">
        <v>42</v>
      </c>
      <c r="L762">
        <v>7</v>
      </c>
      <c r="M762">
        <v>873.78</v>
      </c>
      <c r="N762">
        <v>0.15</v>
      </c>
      <c r="O762">
        <v>6116.46</v>
      </c>
      <c r="P762">
        <v>-221.68</v>
      </c>
    </row>
    <row r="763" spans="1:16" x14ac:dyDescent="0.35">
      <c r="A763" t="s">
        <v>1084</v>
      </c>
      <c r="B763" s="1">
        <v>45230</v>
      </c>
      <c r="C763" s="1">
        <v>45231</v>
      </c>
      <c r="D763" t="s">
        <v>17</v>
      </c>
      <c r="E763" t="s">
        <v>202</v>
      </c>
      <c r="F763" t="s">
        <v>19</v>
      </c>
      <c r="G763" t="s">
        <v>128</v>
      </c>
      <c r="H763" t="s">
        <v>129</v>
      </c>
      <c r="I763" t="s">
        <v>22</v>
      </c>
      <c r="J763" t="s">
        <v>115</v>
      </c>
      <c r="K763" t="s">
        <v>116</v>
      </c>
      <c r="L763">
        <v>11</v>
      </c>
      <c r="M763">
        <v>153.52000000000001</v>
      </c>
      <c r="N763">
        <v>0</v>
      </c>
      <c r="O763">
        <v>1688.72</v>
      </c>
      <c r="P763">
        <v>188.5</v>
      </c>
    </row>
    <row r="764" spans="1:16" x14ac:dyDescent="0.35">
      <c r="A764" t="s">
        <v>1085</v>
      </c>
      <c r="B764" s="1">
        <v>45587</v>
      </c>
      <c r="C764" s="1">
        <v>45591</v>
      </c>
      <c r="D764" t="s">
        <v>44</v>
      </c>
      <c r="E764" t="s">
        <v>324</v>
      </c>
      <c r="F764" t="s">
        <v>35</v>
      </c>
      <c r="G764" t="s">
        <v>51</v>
      </c>
      <c r="H764" t="s">
        <v>36</v>
      </c>
      <c r="I764" t="s">
        <v>22</v>
      </c>
      <c r="J764" t="s">
        <v>37</v>
      </c>
      <c r="K764" t="s">
        <v>144</v>
      </c>
      <c r="L764">
        <v>1</v>
      </c>
      <c r="M764">
        <v>116.91</v>
      </c>
      <c r="N764">
        <v>0</v>
      </c>
      <c r="O764">
        <v>116.91</v>
      </c>
      <c r="P764">
        <v>21.16</v>
      </c>
    </row>
    <row r="765" spans="1:16" x14ac:dyDescent="0.35">
      <c r="A765" t="s">
        <v>1086</v>
      </c>
      <c r="B765" s="1">
        <v>44946</v>
      </c>
      <c r="C765" s="1">
        <v>44947</v>
      </c>
      <c r="D765" t="s">
        <v>17</v>
      </c>
      <c r="E765" t="s">
        <v>758</v>
      </c>
      <c r="F765" t="s">
        <v>19</v>
      </c>
      <c r="G765" t="s">
        <v>51</v>
      </c>
      <c r="H765" t="s">
        <v>21</v>
      </c>
      <c r="I765" t="s">
        <v>30</v>
      </c>
      <c r="J765" t="s">
        <v>99</v>
      </c>
      <c r="K765" t="s">
        <v>100</v>
      </c>
      <c r="L765">
        <v>2</v>
      </c>
      <c r="M765">
        <v>880.3</v>
      </c>
      <c r="N765">
        <v>0.15</v>
      </c>
      <c r="O765">
        <v>1760.6</v>
      </c>
      <c r="P765">
        <v>410.07</v>
      </c>
    </row>
    <row r="766" spans="1:16" x14ac:dyDescent="0.35">
      <c r="A766" t="s">
        <v>1087</v>
      </c>
      <c r="B766" s="1">
        <v>44980</v>
      </c>
      <c r="C766" s="1">
        <v>44983</v>
      </c>
      <c r="D766" t="s">
        <v>59</v>
      </c>
      <c r="E766" t="s">
        <v>251</v>
      </c>
      <c r="F766" t="s">
        <v>35</v>
      </c>
      <c r="G766" t="s">
        <v>181</v>
      </c>
      <c r="H766" t="s">
        <v>123</v>
      </c>
      <c r="I766" t="s">
        <v>52</v>
      </c>
      <c r="J766" t="s">
        <v>160</v>
      </c>
      <c r="K766" t="s">
        <v>634</v>
      </c>
      <c r="L766">
        <v>7</v>
      </c>
      <c r="M766">
        <v>246.57</v>
      </c>
      <c r="N766">
        <v>0</v>
      </c>
      <c r="O766">
        <v>1725.99</v>
      </c>
      <c r="P766">
        <v>539.25</v>
      </c>
    </row>
    <row r="767" spans="1:16" x14ac:dyDescent="0.35">
      <c r="A767" t="s">
        <v>1088</v>
      </c>
      <c r="B767" s="1">
        <v>45150</v>
      </c>
      <c r="C767" s="1">
        <v>45152</v>
      </c>
      <c r="D767" t="s">
        <v>65</v>
      </c>
      <c r="E767" t="s">
        <v>279</v>
      </c>
      <c r="F767" t="s">
        <v>19</v>
      </c>
      <c r="G767" t="s">
        <v>72</v>
      </c>
      <c r="H767" t="s">
        <v>73</v>
      </c>
      <c r="I767" t="s">
        <v>22</v>
      </c>
      <c r="J767" t="s">
        <v>74</v>
      </c>
      <c r="K767" t="s">
        <v>75</v>
      </c>
      <c r="L767">
        <v>2</v>
      </c>
      <c r="M767">
        <v>737.87</v>
      </c>
      <c r="N767">
        <v>0</v>
      </c>
      <c r="O767">
        <v>1475.74</v>
      </c>
      <c r="P767">
        <v>132.46</v>
      </c>
    </row>
    <row r="768" spans="1:16" x14ac:dyDescent="0.35">
      <c r="A768" t="s">
        <v>1089</v>
      </c>
      <c r="B768" s="1">
        <v>45552</v>
      </c>
      <c r="C768" s="1">
        <v>45559</v>
      </c>
      <c r="D768" t="s">
        <v>44</v>
      </c>
      <c r="E768" t="s">
        <v>291</v>
      </c>
      <c r="F768" t="s">
        <v>27</v>
      </c>
      <c r="G768" t="s">
        <v>332</v>
      </c>
      <c r="H768" t="s">
        <v>46</v>
      </c>
      <c r="I768" t="s">
        <v>22</v>
      </c>
      <c r="J768" t="s">
        <v>23</v>
      </c>
      <c r="K768" t="s">
        <v>289</v>
      </c>
      <c r="L768">
        <v>7</v>
      </c>
      <c r="M768">
        <v>223.37</v>
      </c>
      <c r="N768">
        <v>0.2</v>
      </c>
      <c r="O768">
        <v>1563.59</v>
      </c>
      <c r="P768">
        <v>303.04000000000002</v>
      </c>
    </row>
    <row r="769" spans="1:16" x14ac:dyDescent="0.35">
      <c r="A769" t="s">
        <v>1090</v>
      </c>
      <c r="B769" s="1">
        <v>45279</v>
      </c>
      <c r="C769" s="1">
        <v>45280</v>
      </c>
      <c r="D769" t="s">
        <v>59</v>
      </c>
      <c r="E769" t="s">
        <v>381</v>
      </c>
      <c r="F769" t="s">
        <v>27</v>
      </c>
      <c r="G769" t="s">
        <v>132</v>
      </c>
      <c r="H769" t="s">
        <v>112</v>
      </c>
      <c r="I769" t="s">
        <v>52</v>
      </c>
      <c r="J769" t="s">
        <v>78</v>
      </c>
      <c r="K769" t="s">
        <v>79</v>
      </c>
      <c r="L769">
        <v>7</v>
      </c>
      <c r="M769">
        <v>120.01</v>
      </c>
      <c r="N769">
        <v>0.3</v>
      </c>
      <c r="O769">
        <v>840.07</v>
      </c>
      <c r="P769">
        <v>266.83</v>
      </c>
    </row>
    <row r="770" spans="1:16" x14ac:dyDescent="0.35">
      <c r="A770" t="s">
        <v>1091</v>
      </c>
      <c r="B770" s="1">
        <v>45421</v>
      </c>
      <c r="C770" s="1">
        <v>45427</v>
      </c>
      <c r="D770" t="s">
        <v>44</v>
      </c>
      <c r="E770" t="s">
        <v>225</v>
      </c>
      <c r="F770" t="s">
        <v>35</v>
      </c>
      <c r="G770" t="s">
        <v>20</v>
      </c>
      <c r="H770" t="s">
        <v>36</v>
      </c>
      <c r="I770" t="s">
        <v>22</v>
      </c>
      <c r="J770" t="s">
        <v>74</v>
      </c>
      <c r="K770" t="s">
        <v>165</v>
      </c>
      <c r="L770">
        <v>8</v>
      </c>
      <c r="M770">
        <v>467.67</v>
      </c>
      <c r="N770">
        <v>0.15</v>
      </c>
      <c r="O770">
        <v>3741.36</v>
      </c>
      <c r="P770">
        <v>1103.54</v>
      </c>
    </row>
    <row r="771" spans="1:16" x14ac:dyDescent="0.35">
      <c r="A771" t="s">
        <v>1092</v>
      </c>
      <c r="B771" s="1">
        <v>45127</v>
      </c>
      <c r="C771" s="1">
        <v>45128</v>
      </c>
      <c r="D771" t="s">
        <v>65</v>
      </c>
      <c r="E771" t="s">
        <v>1093</v>
      </c>
      <c r="F771" t="s">
        <v>19</v>
      </c>
      <c r="G771" t="s">
        <v>86</v>
      </c>
      <c r="H771" t="s">
        <v>159</v>
      </c>
      <c r="I771" t="s">
        <v>30</v>
      </c>
      <c r="J771" t="s">
        <v>99</v>
      </c>
      <c r="K771" t="s">
        <v>154</v>
      </c>
      <c r="L771">
        <v>4</v>
      </c>
      <c r="M771">
        <v>278.04000000000002</v>
      </c>
      <c r="N771">
        <v>0</v>
      </c>
      <c r="O771">
        <v>1112.1600000000001</v>
      </c>
      <c r="P771">
        <v>38.729999999999997</v>
      </c>
    </row>
    <row r="772" spans="1:16" x14ac:dyDescent="0.35">
      <c r="A772" t="s">
        <v>1094</v>
      </c>
      <c r="B772" s="1">
        <v>45490</v>
      </c>
      <c r="C772" s="1">
        <v>45494</v>
      </c>
      <c r="D772" t="s">
        <v>59</v>
      </c>
      <c r="E772" t="s">
        <v>163</v>
      </c>
      <c r="F772" t="s">
        <v>27</v>
      </c>
      <c r="G772" t="s">
        <v>107</v>
      </c>
      <c r="H772" t="s">
        <v>46</v>
      </c>
      <c r="I772" t="s">
        <v>22</v>
      </c>
      <c r="J772" t="s">
        <v>23</v>
      </c>
      <c r="K772" t="s">
        <v>178</v>
      </c>
      <c r="L772">
        <v>12</v>
      </c>
      <c r="M772">
        <v>50.92</v>
      </c>
      <c r="N772">
        <v>0</v>
      </c>
      <c r="O772">
        <v>611.04</v>
      </c>
      <c r="P772">
        <v>2.91</v>
      </c>
    </row>
    <row r="773" spans="1:16" x14ac:dyDescent="0.35">
      <c r="A773" t="s">
        <v>1095</v>
      </c>
      <c r="B773" s="1">
        <v>45128</v>
      </c>
      <c r="C773" s="1">
        <v>45131</v>
      </c>
      <c r="D773" t="s">
        <v>65</v>
      </c>
      <c r="E773" t="s">
        <v>26</v>
      </c>
      <c r="F773" t="s">
        <v>19</v>
      </c>
      <c r="G773" t="s">
        <v>132</v>
      </c>
      <c r="H773" t="s">
        <v>112</v>
      </c>
      <c r="I773" t="s">
        <v>22</v>
      </c>
      <c r="J773" t="s">
        <v>23</v>
      </c>
      <c r="K773" t="s">
        <v>289</v>
      </c>
      <c r="L773">
        <v>11</v>
      </c>
      <c r="M773">
        <v>34.39</v>
      </c>
      <c r="N773">
        <v>0.2</v>
      </c>
      <c r="O773">
        <v>378.29</v>
      </c>
      <c r="P773">
        <v>-38.049999999999997</v>
      </c>
    </row>
    <row r="774" spans="1:16" x14ac:dyDescent="0.35">
      <c r="A774" t="s">
        <v>1096</v>
      </c>
      <c r="B774" s="1">
        <v>45578</v>
      </c>
      <c r="C774" s="1">
        <v>45585</v>
      </c>
      <c r="D774" t="s">
        <v>65</v>
      </c>
      <c r="E774" t="s">
        <v>737</v>
      </c>
      <c r="F774" t="s">
        <v>35</v>
      </c>
      <c r="G774" t="s">
        <v>82</v>
      </c>
      <c r="H774" t="s">
        <v>46</v>
      </c>
      <c r="I774" t="s">
        <v>52</v>
      </c>
      <c r="J774" t="s">
        <v>194</v>
      </c>
      <c r="K774" t="s">
        <v>195</v>
      </c>
      <c r="L774">
        <v>4</v>
      </c>
      <c r="M774">
        <v>702.7</v>
      </c>
      <c r="N774">
        <v>0</v>
      </c>
      <c r="O774">
        <v>2810.8</v>
      </c>
      <c r="P774">
        <v>910.53</v>
      </c>
    </row>
    <row r="775" spans="1:16" x14ac:dyDescent="0.35">
      <c r="A775" t="s">
        <v>682</v>
      </c>
      <c r="B775" s="1">
        <v>45608</v>
      </c>
      <c r="C775" s="1">
        <v>45610</v>
      </c>
      <c r="D775" t="s">
        <v>17</v>
      </c>
      <c r="E775" t="s">
        <v>465</v>
      </c>
      <c r="F775" t="s">
        <v>27</v>
      </c>
      <c r="G775" t="s">
        <v>132</v>
      </c>
      <c r="H775" t="s">
        <v>129</v>
      </c>
      <c r="I775" t="s">
        <v>52</v>
      </c>
      <c r="J775" t="s">
        <v>194</v>
      </c>
      <c r="K775" t="s">
        <v>195</v>
      </c>
      <c r="L775">
        <v>9</v>
      </c>
      <c r="M775">
        <v>114.32</v>
      </c>
      <c r="N775">
        <v>0.1</v>
      </c>
      <c r="O775">
        <v>1028.8800000000001</v>
      </c>
      <c r="P775">
        <v>174.15</v>
      </c>
    </row>
    <row r="776" spans="1:16" x14ac:dyDescent="0.35">
      <c r="A776" t="s">
        <v>1097</v>
      </c>
      <c r="B776" s="1">
        <v>45131</v>
      </c>
      <c r="C776" s="1">
        <v>45136</v>
      </c>
      <c r="D776" t="s">
        <v>44</v>
      </c>
      <c r="E776" t="s">
        <v>255</v>
      </c>
      <c r="F776" t="s">
        <v>19</v>
      </c>
      <c r="G776" t="s">
        <v>332</v>
      </c>
      <c r="H776" t="s">
        <v>123</v>
      </c>
      <c r="I776" t="s">
        <v>52</v>
      </c>
      <c r="J776" t="s">
        <v>53</v>
      </c>
      <c r="K776" t="s">
        <v>91</v>
      </c>
      <c r="L776">
        <v>5</v>
      </c>
      <c r="M776">
        <v>622.16999999999996</v>
      </c>
      <c r="N776">
        <v>0</v>
      </c>
      <c r="O776">
        <v>3110.85</v>
      </c>
      <c r="P776">
        <v>734.32</v>
      </c>
    </row>
    <row r="777" spans="1:16" x14ac:dyDescent="0.35">
      <c r="A777" t="s">
        <v>1098</v>
      </c>
      <c r="B777" s="1">
        <v>45031</v>
      </c>
      <c r="C777" s="1">
        <v>45032</v>
      </c>
      <c r="D777" t="s">
        <v>59</v>
      </c>
      <c r="E777" t="s">
        <v>303</v>
      </c>
      <c r="F777" t="s">
        <v>19</v>
      </c>
      <c r="G777" t="s">
        <v>72</v>
      </c>
      <c r="H777" t="s">
        <v>73</v>
      </c>
      <c r="I777" t="s">
        <v>52</v>
      </c>
      <c r="J777" t="s">
        <v>160</v>
      </c>
      <c r="K777" t="s">
        <v>234</v>
      </c>
      <c r="L777">
        <v>9</v>
      </c>
      <c r="M777">
        <v>881.69</v>
      </c>
      <c r="O777">
        <v>7935.21</v>
      </c>
      <c r="P777">
        <v>-665.14</v>
      </c>
    </row>
    <row r="778" spans="1:16" x14ac:dyDescent="0.35">
      <c r="A778" t="s">
        <v>1099</v>
      </c>
      <c r="B778" s="1">
        <v>45512</v>
      </c>
      <c r="C778" s="1">
        <v>45517</v>
      </c>
      <c r="D778" t="s">
        <v>59</v>
      </c>
      <c r="E778" t="s">
        <v>337</v>
      </c>
      <c r="F778" t="s">
        <v>19</v>
      </c>
      <c r="G778" t="s">
        <v>103</v>
      </c>
      <c r="H778" t="s">
        <v>73</v>
      </c>
      <c r="I778" t="s">
        <v>52</v>
      </c>
      <c r="J778" t="s">
        <v>78</v>
      </c>
      <c r="K778" t="s">
        <v>198</v>
      </c>
      <c r="L778">
        <v>9</v>
      </c>
      <c r="M778">
        <v>359.07</v>
      </c>
      <c r="O778">
        <v>3231.63</v>
      </c>
      <c r="P778">
        <v>-421.32</v>
      </c>
    </row>
    <row r="779" spans="1:16" x14ac:dyDescent="0.35">
      <c r="A779" t="s">
        <v>1100</v>
      </c>
      <c r="B779" s="1">
        <v>45470</v>
      </c>
      <c r="C779" s="1">
        <v>45472</v>
      </c>
      <c r="D779" t="s">
        <v>44</v>
      </c>
      <c r="E779" t="s">
        <v>50</v>
      </c>
      <c r="F779" t="s">
        <v>19</v>
      </c>
      <c r="G779" t="s">
        <v>132</v>
      </c>
      <c r="H779" t="s">
        <v>129</v>
      </c>
      <c r="I779" t="s">
        <v>52</v>
      </c>
      <c r="J779" t="s">
        <v>194</v>
      </c>
      <c r="K779" t="s">
        <v>306</v>
      </c>
      <c r="L779">
        <v>10</v>
      </c>
      <c r="M779">
        <v>538.62</v>
      </c>
      <c r="N779">
        <v>0</v>
      </c>
      <c r="O779">
        <v>5386.2</v>
      </c>
      <c r="P779">
        <v>-388.94</v>
      </c>
    </row>
    <row r="780" spans="1:16" x14ac:dyDescent="0.35">
      <c r="A780" t="s">
        <v>1101</v>
      </c>
      <c r="B780" s="1">
        <v>45117</v>
      </c>
      <c r="C780" s="1">
        <v>45120</v>
      </c>
      <c r="D780" t="s">
        <v>44</v>
      </c>
      <c r="E780" t="s">
        <v>675</v>
      </c>
      <c r="F780" t="s">
        <v>19</v>
      </c>
      <c r="H780" t="s">
        <v>36</v>
      </c>
      <c r="I780" t="s">
        <v>22</v>
      </c>
      <c r="J780" t="s">
        <v>74</v>
      </c>
      <c r="K780" t="s">
        <v>253</v>
      </c>
      <c r="L780">
        <v>5</v>
      </c>
      <c r="M780">
        <v>61.49</v>
      </c>
      <c r="N780">
        <v>0</v>
      </c>
      <c r="O780">
        <v>307.45</v>
      </c>
      <c r="P780">
        <v>19.45</v>
      </c>
    </row>
    <row r="781" spans="1:16" x14ac:dyDescent="0.35">
      <c r="A781" t="s">
        <v>1102</v>
      </c>
      <c r="B781" s="1">
        <v>45402</v>
      </c>
      <c r="C781" s="1">
        <v>45406</v>
      </c>
      <c r="D781" t="s">
        <v>44</v>
      </c>
      <c r="E781" t="s">
        <v>193</v>
      </c>
      <c r="F781" t="s">
        <v>19</v>
      </c>
      <c r="G781" t="s">
        <v>111</v>
      </c>
      <c r="H781" t="s">
        <v>112</v>
      </c>
      <c r="I781" t="s">
        <v>22</v>
      </c>
      <c r="J781" t="s">
        <v>23</v>
      </c>
      <c r="K781" t="s">
        <v>289</v>
      </c>
      <c r="L781">
        <v>8</v>
      </c>
      <c r="M781">
        <v>739.28</v>
      </c>
      <c r="N781">
        <v>0.3</v>
      </c>
      <c r="O781">
        <v>5914.24</v>
      </c>
      <c r="P781">
        <v>-409.96</v>
      </c>
    </row>
    <row r="782" spans="1:16" x14ac:dyDescent="0.35">
      <c r="A782" t="s">
        <v>1103</v>
      </c>
      <c r="B782" s="1">
        <v>45254</v>
      </c>
      <c r="C782" s="1">
        <v>45257</v>
      </c>
      <c r="D782" t="s">
        <v>65</v>
      </c>
      <c r="E782" t="s">
        <v>337</v>
      </c>
      <c r="F782" t="s">
        <v>27</v>
      </c>
      <c r="G782" t="s">
        <v>45</v>
      </c>
      <c r="H782" t="s">
        <v>46</v>
      </c>
      <c r="I782" t="s">
        <v>30</v>
      </c>
      <c r="J782" t="s">
        <v>41</v>
      </c>
      <c r="K782" t="s">
        <v>191</v>
      </c>
      <c r="L782">
        <v>1</v>
      </c>
      <c r="M782">
        <v>858.9</v>
      </c>
      <c r="N782">
        <v>0</v>
      </c>
      <c r="O782">
        <v>858.9</v>
      </c>
      <c r="P782">
        <v>247.79</v>
      </c>
    </row>
    <row r="783" spans="1:16" x14ac:dyDescent="0.35">
      <c r="A783" t="s">
        <v>1104</v>
      </c>
      <c r="B783" s="1">
        <v>45573</v>
      </c>
      <c r="C783" s="1">
        <v>45575</v>
      </c>
      <c r="D783" t="s">
        <v>65</v>
      </c>
      <c r="E783" t="s">
        <v>314</v>
      </c>
      <c r="F783" t="s">
        <v>19</v>
      </c>
      <c r="G783" t="s">
        <v>86</v>
      </c>
      <c r="H783" t="s">
        <v>29</v>
      </c>
      <c r="I783" t="s">
        <v>22</v>
      </c>
      <c r="J783" t="s">
        <v>37</v>
      </c>
      <c r="K783" t="s">
        <v>38</v>
      </c>
      <c r="L783">
        <v>6</v>
      </c>
      <c r="M783">
        <v>209.26</v>
      </c>
      <c r="N783">
        <v>0</v>
      </c>
      <c r="O783">
        <v>1255.56</v>
      </c>
      <c r="P783">
        <v>221.61</v>
      </c>
    </row>
    <row r="784" spans="1:16" x14ac:dyDescent="0.35">
      <c r="A784" t="s">
        <v>1105</v>
      </c>
      <c r="B784" s="1">
        <v>45026</v>
      </c>
      <c r="C784" s="1">
        <v>45030</v>
      </c>
      <c r="D784" t="s">
        <v>59</v>
      </c>
      <c r="E784" t="s">
        <v>397</v>
      </c>
      <c r="F784" t="s">
        <v>19</v>
      </c>
      <c r="G784" t="s">
        <v>51</v>
      </c>
      <c r="H784" t="s">
        <v>36</v>
      </c>
      <c r="I784" t="s">
        <v>30</v>
      </c>
      <c r="J784" t="s">
        <v>99</v>
      </c>
      <c r="K784" t="s">
        <v>154</v>
      </c>
      <c r="L784">
        <v>1</v>
      </c>
      <c r="M784">
        <v>39.83</v>
      </c>
      <c r="N784">
        <v>0.2</v>
      </c>
      <c r="O784">
        <v>39.83</v>
      </c>
      <c r="P784">
        <v>0.66</v>
      </c>
    </row>
    <row r="785" spans="1:16" x14ac:dyDescent="0.35">
      <c r="A785" t="s">
        <v>1106</v>
      </c>
      <c r="B785" s="1">
        <v>45522</v>
      </c>
      <c r="C785" s="1">
        <v>45529</v>
      </c>
      <c r="D785" t="s">
        <v>44</v>
      </c>
      <c r="E785" t="s">
        <v>114</v>
      </c>
      <c r="F785" t="s">
        <v>27</v>
      </c>
      <c r="G785" t="s">
        <v>288</v>
      </c>
      <c r="H785" t="s">
        <v>129</v>
      </c>
      <c r="I785" t="s">
        <v>30</v>
      </c>
      <c r="J785" t="s">
        <v>99</v>
      </c>
      <c r="K785" t="s">
        <v>247</v>
      </c>
      <c r="L785">
        <v>11</v>
      </c>
      <c r="M785">
        <v>558.69000000000005</v>
      </c>
      <c r="N785">
        <v>0.3</v>
      </c>
      <c r="O785">
        <v>6145.59</v>
      </c>
      <c r="P785">
        <v>999.06</v>
      </c>
    </row>
    <row r="786" spans="1:16" x14ac:dyDescent="0.35">
      <c r="A786" t="s">
        <v>1107</v>
      </c>
      <c r="B786" s="1">
        <v>45450</v>
      </c>
      <c r="C786" s="1">
        <v>45452</v>
      </c>
      <c r="D786" t="s">
        <v>65</v>
      </c>
      <c r="E786" t="s">
        <v>1108</v>
      </c>
      <c r="F786" t="s">
        <v>19</v>
      </c>
      <c r="G786" t="s">
        <v>211</v>
      </c>
      <c r="H786" t="s">
        <v>159</v>
      </c>
      <c r="I786" t="s">
        <v>30</v>
      </c>
      <c r="J786" t="s">
        <v>47</v>
      </c>
      <c r="K786" t="s">
        <v>48</v>
      </c>
      <c r="L786">
        <v>10</v>
      </c>
      <c r="M786">
        <v>774.63</v>
      </c>
      <c r="N786">
        <v>0.15</v>
      </c>
      <c r="O786">
        <v>7746.3</v>
      </c>
      <c r="P786">
        <v>-979.93</v>
      </c>
    </row>
    <row r="787" spans="1:16" x14ac:dyDescent="0.35">
      <c r="A787" t="s">
        <v>1109</v>
      </c>
      <c r="B787" s="1">
        <v>45151</v>
      </c>
      <c r="C787" s="1">
        <v>45153</v>
      </c>
      <c r="D787" t="s">
        <v>59</v>
      </c>
      <c r="E787" t="s">
        <v>510</v>
      </c>
      <c r="F787" t="s">
        <v>19</v>
      </c>
      <c r="G787" t="s">
        <v>61</v>
      </c>
      <c r="H787" t="s">
        <v>73</v>
      </c>
      <c r="I787" t="s">
        <v>30</v>
      </c>
      <c r="J787" t="s">
        <v>41</v>
      </c>
      <c r="K787" t="s">
        <v>191</v>
      </c>
      <c r="L787">
        <v>10</v>
      </c>
      <c r="M787">
        <v>61.86</v>
      </c>
      <c r="N787">
        <v>0.1</v>
      </c>
      <c r="O787">
        <v>618.6</v>
      </c>
      <c r="P787">
        <v>91.52</v>
      </c>
    </row>
    <row r="788" spans="1:16" x14ac:dyDescent="0.35">
      <c r="A788" t="s">
        <v>1110</v>
      </c>
      <c r="B788" s="1">
        <v>45089</v>
      </c>
      <c r="C788" s="1">
        <v>45096</v>
      </c>
      <c r="D788" t="s">
        <v>65</v>
      </c>
      <c r="E788" t="s">
        <v>784</v>
      </c>
      <c r="F788" t="s">
        <v>35</v>
      </c>
      <c r="G788" t="s">
        <v>103</v>
      </c>
      <c r="H788" t="s">
        <v>62</v>
      </c>
      <c r="I788" t="s">
        <v>22</v>
      </c>
      <c r="J788" t="s">
        <v>23</v>
      </c>
      <c r="K788" t="s">
        <v>178</v>
      </c>
      <c r="L788">
        <v>8</v>
      </c>
      <c r="M788">
        <v>408.9</v>
      </c>
      <c r="N788">
        <v>0.2</v>
      </c>
      <c r="O788">
        <v>3271.2</v>
      </c>
      <c r="P788">
        <v>-241.73</v>
      </c>
    </row>
    <row r="789" spans="1:16" x14ac:dyDescent="0.35">
      <c r="A789" t="s">
        <v>1111</v>
      </c>
      <c r="B789" s="1">
        <v>45340</v>
      </c>
      <c r="C789" s="1">
        <v>45345</v>
      </c>
      <c r="D789" t="s">
        <v>65</v>
      </c>
      <c r="E789" t="s">
        <v>139</v>
      </c>
      <c r="F789" t="s">
        <v>19</v>
      </c>
      <c r="G789" t="s">
        <v>82</v>
      </c>
      <c r="H789" t="s">
        <v>123</v>
      </c>
      <c r="I789" t="s">
        <v>52</v>
      </c>
      <c r="J789" t="s">
        <v>53</v>
      </c>
      <c r="K789" t="s">
        <v>54</v>
      </c>
      <c r="L789">
        <v>9</v>
      </c>
      <c r="M789">
        <v>268.36</v>
      </c>
      <c r="N789">
        <v>0</v>
      </c>
      <c r="O789">
        <v>2415.2399999999998</v>
      </c>
      <c r="P789">
        <v>607.36</v>
      </c>
    </row>
    <row r="790" spans="1:16" x14ac:dyDescent="0.35">
      <c r="A790" t="s">
        <v>1112</v>
      </c>
      <c r="B790" s="1">
        <v>45419</v>
      </c>
      <c r="C790" s="1">
        <v>45425</v>
      </c>
      <c r="D790" t="s">
        <v>44</v>
      </c>
      <c r="E790" t="s">
        <v>363</v>
      </c>
      <c r="F790" t="s">
        <v>27</v>
      </c>
      <c r="G790" t="s">
        <v>82</v>
      </c>
      <c r="H790" t="s">
        <v>123</v>
      </c>
      <c r="I790" t="s">
        <v>52</v>
      </c>
      <c r="J790" t="s">
        <v>78</v>
      </c>
      <c r="K790" t="s">
        <v>79</v>
      </c>
      <c r="L790">
        <v>8</v>
      </c>
      <c r="M790">
        <v>880.63</v>
      </c>
      <c r="N790">
        <v>0</v>
      </c>
      <c r="O790">
        <v>7045.04</v>
      </c>
      <c r="P790">
        <v>2245.94</v>
      </c>
    </row>
    <row r="791" spans="1:16" x14ac:dyDescent="0.35">
      <c r="A791" t="s">
        <v>1113</v>
      </c>
      <c r="B791" s="1">
        <v>45031</v>
      </c>
      <c r="C791" s="1">
        <v>45038</v>
      </c>
      <c r="D791" t="s">
        <v>65</v>
      </c>
      <c r="E791" t="s">
        <v>474</v>
      </c>
      <c r="F791" t="s">
        <v>19</v>
      </c>
      <c r="G791" t="s">
        <v>72</v>
      </c>
      <c r="H791" t="s">
        <v>62</v>
      </c>
      <c r="I791" t="s">
        <v>52</v>
      </c>
      <c r="J791" t="s">
        <v>194</v>
      </c>
      <c r="K791" t="s">
        <v>306</v>
      </c>
      <c r="L791">
        <v>11</v>
      </c>
      <c r="M791">
        <v>777.06</v>
      </c>
      <c r="N791">
        <v>0.15</v>
      </c>
      <c r="O791">
        <v>8547.66</v>
      </c>
      <c r="P791">
        <v>2846.01</v>
      </c>
    </row>
    <row r="792" spans="1:16" x14ac:dyDescent="0.35">
      <c r="A792" t="s">
        <v>1114</v>
      </c>
      <c r="B792" s="1">
        <v>45360</v>
      </c>
      <c r="C792" s="1">
        <v>45363</v>
      </c>
      <c r="D792" t="s">
        <v>65</v>
      </c>
      <c r="E792" t="s">
        <v>71</v>
      </c>
      <c r="F792" t="s">
        <v>35</v>
      </c>
      <c r="G792" t="s">
        <v>67</v>
      </c>
      <c r="H792" t="s">
        <v>21</v>
      </c>
      <c r="I792" t="s">
        <v>22</v>
      </c>
      <c r="J792" t="s">
        <v>23</v>
      </c>
      <c r="K792" t="s">
        <v>178</v>
      </c>
      <c r="L792">
        <v>9</v>
      </c>
      <c r="M792">
        <v>767.86</v>
      </c>
      <c r="N792">
        <v>0</v>
      </c>
      <c r="O792">
        <v>6910.74</v>
      </c>
    </row>
    <row r="793" spans="1:16" x14ac:dyDescent="0.35">
      <c r="A793" t="s">
        <v>1115</v>
      </c>
      <c r="B793" s="1">
        <v>45651</v>
      </c>
      <c r="C793" s="1">
        <v>45652</v>
      </c>
      <c r="D793" t="s">
        <v>59</v>
      </c>
      <c r="E793" t="s">
        <v>403</v>
      </c>
      <c r="F793" t="s">
        <v>19</v>
      </c>
      <c r="G793" t="s">
        <v>90</v>
      </c>
      <c r="H793" t="s">
        <v>73</v>
      </c>
      <c r="I793" t="s">
        <v>22</v>
      </c>
      <c r="J793" t="s">
        <v>74</v>
      </c>
      <c r="K793" t="s">
        <v>165</v>
      </c>
      <c r="L793">
        <v>10</v>
      </c>
      <c r="M793">
        <v>683.07</v>
      </c>
      <c r="N793">
        <v>0.15</v>
      </c>
      <c r="O793">
        <v>6830.7</v>
      </c>
      <c r="P793">
        <v>757.37</v>
      </c>
    </row>
    <row r="794" spans="1:16" x14ac:dyDescent="0.35">
      <c r="A794" t="s">
        <v>1116</v>
      </c>
      <c r="B794" s="1">
        <v>45314</v>
      </c>
      <c r="C794" s="1">
        <v>45317</v>
      </c>
      <c r="D794" t="s">
        <v>44</v>
      </c>
      <c r="E794" t="s">
        <v>503</v>
      </c>
      <c r="F794" t="s">
        <v>19</v>
      </c>
      <c r="G794" t="s">
        <v>103</v>
      </c>
      <c r="H794" t="s">
        <v>62</v>
      </c>
      <c r="I794" t="s">
        <v>52</v>
      </c>
      <c r="J794" t="s">
        <v>194</v>
      </c>
      <c r="K794" t="s">
        <v>195</v>
      </c>
      <c r="L794">
        <v>6</v>
      </c>
      <c r="M794">
        <v>440.74</v>
      </c>
      <c r="N794">
        <v>0.1</v>
      </c>
      <c r="O794">
        <v>2644.44</v>
      </c>
      <c r="P794">
        <v>776.37</v>
      </c>
    </row>
    <row r="795" spans="1:16" x14ac:dyDescent="0.35">
      <c r="A795" t="s">
        <v>1117</v>
      </c>
      <c r="B795" s="1">
        <v>45411</v>
      </c>
      <c r="C795" s="1">
        <v>45418</v>
      </c>
      <c r="D795" t="s">
        <v>17</v>
      </c>
      <c r="E795" t="s">
        <v>312</v>
      </c>
      <c r="F795" t="s">
        <v>27</v>
      </c>
      <c r="G795" t="s">
        <v>28</v>
      </c>
      <c r="H795" t="s">
        <v>29</v>
      </c>
      <c r="I795" t="s">
        <v>22</v>
      </c>
      <c r="J795" t="s">
        <v>115</v>
      </c>
      <c r="K795" t="s">
        <v>147</v>
      </c>
      <c r="L795">
        <v>4</v>
      </c>
      <c r="M795">
        <v>726.87</v>
      </c>
      <c r="N795">
        <v>0</v>
      </c>
      <c r="O795">
        <v>2907.48</v>
      </c>
      <c r="P795">
        <v>-400.61</v>
      </c>
    </row>
    <row r="796" spans="1:16" x14ac:dyDescent="0.35">
      <c r="A796" t="s">
        <v>1118</v>
      </c>
      <c r="B796" s="1">
        <v>44932</v>
      </c>
      <c r="C796" s="1">
        <v>44939</v>
      </c>
      <c r="D796" t="s">
        <v>65</v>
      </c>
      <c r="E796" t="s">
        <v>243</v>
      </c>
      <c r="F796" t="s">
        <v>27</v>
      </c>
      <c r="G796" t="s">
        <v>111</v>
      </c>
      <c r="H796" t="s">
        <v>129</v>
      </c>
      <c r="I796" t="s">
        <v>52</v>
      </c>
      <c r="J796" t="s">
        <v>194</v>
      </c>
      <c r="K796" t="s">
        <v>306</v>
      </c>
      <c r="L796">
        <v>12</v>
      </c>
      <c r="M796">
        <v>185.98</v>
      </c>
      <c r="N796">
        <v>0.2</v>
      </c>
      <c r="O796">
        <v>2231.7600000000002</v>
      </c>
      <c r="P796">
        <v>464.96</v>
      </c>
    </row>
    <row r="797" spans="1:16" x14ac:dyDescent="0.35">
      <c r="A797" t="s">
        <v>1119</v>
      </c>
      <c r="B797" s="1">
        <v>44972</v>
      </c>
      <c r="C797" s="1">
        <v>44973</v>
      </c>
      <c r="D797" t="s">
        <v>65</v>
      </c>
      <c r="E797" t="s">
        <v>708</v>
      </c>
      <c r="F797" t="s">
        <v>35</v>
      </c>
      <c r="G797" t="s">
        <v>90</v>
      </c>
      <c r="H797" t="s">
        <v>73</v>
      </c>
      <c r="I797" t="s">
        <v>22</v>
      </c>
      <c r="J797" t="s">
        <v>37</v>
      </c>
      <c r="K797" t="s">
        <v>38</v>
      </c>
      <c r="L797">
        <v>1</v>
      </c>
      <c r="M797">
        <v>207.87</v>
      </c>
      <c r="N797">
        <v>0.1</v>
      </c>
      <c r="O797">
        <v>207.87</v>
      </c>
      <c r="P797">
        <v>-15.86</v>
      </c>
    </row>
    <row r="798" spans="1:16" x14ac:dyDescent="0.35">
      <c r="A798" t="s">
        <v>1120</v>
      </c>
      <c r="B798" s="1">
        <v>45159</v>
      </c>
      <c r="C798" s="1">
        <v>45166</v>
      </c>
      <c r="D798" t="s">
        <v>65</v>
      </c>
      <c r="E798" t="s">
        <v>406</v>
      </c>
      <c r="F798" t="s">
        <v>19</v>
      </c>
      <c r="G798" t="s">
        <v>132</v>
      </c>
      <c r="H798" t="s">
        <v>129</v>
      </c>
      <c r="I798" t="s">
        <v>52</v>
      </c>
      <c r="J798" t="s">
        <v>68</v>
      </c>
      <c r="K798" t="s">
        <v>69</v>
      </c>
      <c r="L798">
        <v>8</v>
      </c>
      <c r="M798">
        <v>173.33</v>
      </c>
      <c r="N798">
        <v>0.15</v>
      </c>
      <c r="O798">
        <v>1386.64</v>
      </c>
      <c r="P798">
        <v>38.42</v>
      </c>
    </row>
    <row r="799" spans="1:16" x14ac:dyDescent="0.35">
      <c r="A799" t="s">
        <v>1083</v>
      </c>
      <c r="B799" s="1">
        <v>45158</v>
      </c>
      <c r="C799" s="1">
        <v>45165</v>
      </c>
      <c r="D799" t="s">
        <v>44</v>
      </c>
      <c r="E799" t="s">
        <v>169</v>
      </c>
      <c r="F799" t="s">
        <v>27</v>
      </c>
      <c r="G799" t="s">
        <v>67</v>
      </c>
      <c r="H799" t="s">
        <v>21</v>
      </c>
      <c r="I799" t="s">
        <v>30</v>
      </c>
      <c r="J799" t="s">
        <v>41</v>
      </c>
      <c r="K799" t="s">
        <v>42</v>
      </c>
      <c r="L799">
        <v>7</v>
      </c>
      <c r="M799">
        <v>873.78</v>
      </c>
      <c r="N799">
        <v>0.15</v>
      </c>
      <c r="O799">
        <v>6116.46</v>
      </c>
      <c r="P799">
        <v>-221.68</v>
      </c>
    </row>
    <row r="800" spans="1:16" x14ac:dyDescent="0.35">
      <c r="A800" t="s">
        <v>1121</v>
      </c>
      <c r="B800" s="1">
        <v>45637</v>
      </c>
      <c r="C800" s="1">
        <v>45640</v>
      </c>
      <c r="D800" t="s">
        <v>17</v>
      </c>
      <c r="E800" t="s">
        <v>442</v>
      </c>
      <c r="F800" t="s">
        <v>35</v>
      </c>
      <c r="G800" t="s">
        <v>181</v>
      </c>
      <c r="H800" t="s">
        <v>46</v>
      </c>
      <c r="I800" t="s">
        <v>30</v>
      </c>
      <c r="J800" t="s">
        <v>47</v>
      </c>
      <c r="K800" t="s">
        <v>63</v>
      </c>
      <c r="L800">
        <v>3</v>
      </c>
      <c r="M800">
        <v>223.56</v>
      </c>
      <c r="N800">
        <v>0.1</v>
      </c>
      <c r="O800">
        <v>670.68</v>
      </c>
      <c r="P800">
        <v>89.18</v>
      </c>
    </row>
    <row r="801" spans="1:16" x14ac:dyDescent="0.35">
      <c r="A801" t="s">
        <v>1122</v>
      </c>
      <c r="B801" s="1">
        <v>45295</v>
      </c>
      <c r="C801" s="1">
        <v>45302</v>
      </c>
      <c r="D801" t="s">
        <v>65</v>
      </c>
      <c r="E801" t="s">
        <v>1123</v>
      </c>
      <c r="F801" t="s">
        <v>19</v>
      </c>
      <c r="G801" t="s">
        <v>20</v>
      </c>
      <c r="H801" t="s">
        <v>21</v>
      </c>
      <c r="I801" t="s">
        <v>30</v>
      </c>
      <c r="J801" t="s">
        <v>99</v>
      </c>
      <c r="K801" t="s">
        <v>154</v>
      </c>
      <c r="L801">
        <v>9</v>
      </c>
      <c r="M801">
        <v>463.63</v>
      </c>
      <c r="N801">
        <v>0</v>
      </c>
      <c r="O801">
        <v>4172.67</v>
      </c>
      <c r="P801">
        <v>-571.11</v>
      </c>
    </row>
    <row r="802" spans="1:16" x14ac:dyDescent="0.35">
      <c r="A802" t="s">
        <v>1124</v>
      </c>
      <c r="B802" s="1">
        <v>45643</v>
      </c>
      <c r="C802" s="1">
        <v>45648</v>
      </c>
      <c r="D802" t="s">
        <v>44</v>
      </c>
      <c r="E802" t="s">
        <v>263</v>
      </c>
      <c r="F802" t="s">
        <v>27</v>
      </c>
      <c r="G802" t="s">
        <v>187</v>
      </c>
      <c r="H802" t="s">
        <v>29</v>
      </c>
      <c r="I802" t="s">
        <v>52</v>
      </c>
      <c r="J802" t="s">
        <v>68</v>
      </c>
      <c r="K802" t="s">
        <v>108</v>
      </c>
      <c r="L802">
        <v>8</v>
      </c>
      <c r="M802">
        <v>333.77</v>
      </c>
      <c r="N802">
        <v>0</v>
      </c>
      <c r="O802">
        <v>2670.16</v>
      </c>
      <c r="P802">
        <v>121.74</v>
      </c>
    </row>
    <row r="803" spans="1:16" x14ac:dyDescent="0.35">
      <c r="A803" t="s">
        <v>1125</v>
      </c>
      <c r="B803" s="1">
        <v>45500</v>
      </c>
      <c r="C803" s="1">
        <v>45504</v>
      </c>
      <c r="D803" t="s">
        <v>59</v>
      </c>
      <c r="E803" t="s">
        <v>368</v>
      </c>
      <c r="F803" t="s">
        <v>35</v>
      </c>
      <c r="G803" t="s">
        <v>128</v>
      </c>
      <c r="H803" t="s">
        <v>112</v>
      </c>
      <c r="I803" t="s">
        <v>22</v>
      </c>
      <c r="J803" t="s">
        <v>37</v>
      </c>
      <c r="K803" t="s">
        <v>144</v>
      </c>
      <c r="L803">
        <v>6</v>
      </c>
      <c r="M803">
        <v>770.56</v>
      </c>
      <c r="N803">
        <v>0.3</v>
      </c>
      <c r="O803">
        <v>4623.3599999999997</v>
      </c>
      <c r="P803">
        <v>855.41</v>
      </c>
    </row>
    <row r="804" spans="1:16" x14ac:dyDescent="0.35">
      <c r="A804" t="s">
        <v>1126</v>
      </c>
      <c r="B804" s="1">
        <v>45103</v>
      </c>
      <c r="C804" s="1">
        <v>45106</v>
      </c>
      <c r="D804" t="s">
        <v>44</v>
      </c>
      <c r="E804" t="s">
        <v>190</v>
      </c>
      <c r="F804" t="s">
        <v>27</v>
      </c>
      <c r="G804" t="s">
        <v>288</v>
      </c>
      <c r="H804" t="s">
        <v>129</v>
      </c>
      <c r="I804" t="s">
        <v>30</v>
      </c>
      <c r="J804" t="s">
        <v>31</v>
      </c>
      <c r="K804" t="s">
        <v>57</v>
      </c>
      <c r="L804">
        <v>12</v>
      </c>
      <c r="M804">
        <v>430.32</v>
      </c>
      <c r="N804">
        <v>0</v>
      </c>
      <c r="O804">
        <v>5163.84</v>
      </c>
      <c r="P804">
        <v>1541.49</v>
      </c>
    </row>
    <row r="805" spans="1:16" x14ac:dyDescent="0.35">
      <c r="A805" t="s">
        <v>1127</v>
      </c>
      <c r="B805" s="1">
        <v>45516</v>
      </c>
      <c r="C805" s="1">
        <v>45521</v>
      </c>
      <c r="D805" t="s">
        <v>59</v>
      </c>
      <c r="E805" t="s">
        <v>533</v>
      </c>
      <c r="F805" t="s">
        <v>35</v>
      </c>
      <c r="G805" t="s">
        <v>82</v>
      </c>
      <c r="H805" t="s">
        <v>83</v>
      </c>
      <c r="I805" t="s">
        <v>30</v>
      </c>
      <c r="J805" t="s">
        <v>99</v>
      </c>
      <c r="K805" t="s">
        <v>154</v>
      </c>
      <c r="L805">
        <v>5</v>
      </c>
      <c r="M805">
        <v>167.43</v>
      </c>
      <c r="N805">
        <v>0.15</v>
      </c>
      <c r="O805">
        <v>837.15</v>
      </c>
      <c r="P805">
        <v>56.88</v>
      </c>
    </row>
    <row r="806" spans="1:16" x14ac:dyDescent="0.35">
      <c r="A806" t="s">
        <v>1128</v>
      </c>
      <c r="B806" s="1">
        <v>45016</v>
      </c>
      <c r="C806" s="1">
        <v>45019</v>
      </c>
      <c r="D806" t="s">
        <v>44</v>
      </c>
      <c r="E806" t="s">
        <v>781</v>
      </c>
      <c r="F806" t="s">
        <v>35</v>
      </c>
      <c r="G806" t="s">
        <v>61</v>
      </c>
      <c r="H806" t="s">
        <v>73</v>
      </c>
      <c r="I806" t="s">
        <v>52</v>
      </c>
      <c r="J806" t="s">
        <v>160</v>
      </c>
      <c r="K806" t="s">
        <v>634</v>
      </c>
      <c r="L806">
        <v>-4</v>
      </c>
      <c r="M806">
        <v>194.42</v>
      </c>
      <c r="N806">
        <v>0.3</v>
      </c>
      <c r="O806">
        <v>777.68</v>
      </c>
      <c r="P806">
        <v>250.49</v>
      </c>
    </row>
    <row r="807" spans="1:16" x14ac:dyDescent="0.35">
      <c r="A807" t="s">
        <v>1129</v>
      </c>
      <c r="B807" s="1">
        <v>45010</v>
      </c>
      <c r="C807" s="1">
        <v>45017</v>
      </c>
      <c r="D807" t="s">
        <v>59</v>
      </c>
      <c r="E807" t="s">
        <v>184</v>
      </c>
      <c r="F807" t="s">
        <v>19</v>
      </c>
      <c r="G807" t="s">
        <v>111</v>
      </c>
      <c r="H807" t="s">
        <v>112</v>
      </c>
      <c r="I807" t="s">
        <v>22</v>
      </c>
      <c r="J807" t="s">
        <v>37</v>
      </c>
      <c r="K807" t="s">
        <v>144</v>
      </c>
      <c r="L807">
        <v>8</v>
      </c>
      <c r="M807">
        <v>165.2</v>
      </c>
      <c r="N807">
        <v>0.2</v>
      </c>
      <c r="O807">
        <v>1321.6</v>
      </c>
      <c r="P807">
        <v>48.82</v>
      </c>
    </row>
    <row r="808" spans="1:16" x14ac:dyDescent="0.35">
      <c r="A808" t="s">
        <v>1130</v>
      </c>
      <c r="B808" s="1">
        <v>45383</v>
      </c>
      <c r="C808" s="1">
        <v>45387</v>
      </c>
      <c r="D808" t="s">
        <v>17</v>
      </c>
      <c r="E808" t="s">
        <v>551</v>
      </c>
      <c r="F808" t="s">
        <v>35</v>
      </c>
      <c r="G808" t="s">
        <v>332</v>
      </c>
      <c r="H808" t="s">
        <v>46</v>
      </c>
      <c r="I808" t="s">
        <v>52</v>
      </c>
      <c r="J808" t="s">
        <v>194</v>
      </c>
      <c r="K808" t="s">
        <v>306</v>
      </c>
      <c r="L808">
        <v>8</v>
      </c>
      <c r="M808">
        <v>146.5</v>
      </c>
      <c r="N808">
        <v>0</v>
      </c>
      <c r="O808">
        <v>1172</v>
      </c>
      <c r="P808">
        <v>324.44</v>
      </c>
    </row>
    <row r="809" spans="1:16" x14ac:dyDescent="0.35">
      <c r="A809" t="s">
        <v>1131</v>
      </c>
      <c r="B809" s="1">
        <v>45124</v>
      </c>
      <c r="C809" s="1">
        <v>45131</v>
      </c>
      <c r="D809" t="s">
        <v>17</v>
      </c>
      <c r="E809" t="s">
        <v>368</v>
      </c>
      <c r="F809" t="s">
        <v>35</v>
      </c>
      <c r="G809" t="s">
        <v>82</v>
      </c>
      <c r="H809" t="s">
        <v>123</v>
      </c>
      <c r="I809" t="s">
        <v>22</v>
      </c>
      <c r="J809" t="s">
        <v>37</v>
      </c>
      <c r="K809" t="s">
        <v>144</v>
      </c>
      <c r="L809">
        <v>12</v>
      </c>
      <c r="M809">
        <v>306.72000000000003</v>
      </c>
      <c r="N809">
        <v>0</v>
      </c>
      <c r="O809">
        <v>3680.64</v>
      </c>
      <c r="P809">
        <v>492.8</v>
      </c>
    </row>
    <row r="810" spans="1:16" x14ac:dyDescent="0.35">
      <c r="A810" t="s">
        <v>1132</v>
      </c>
      <c r="B810" s="1">
        <v>45010</v>
      </c>
      <c r="C810" s="1">
        <v>45013</v>
      </c>
      <c r="E810" t="s">
        <v>143</v>
      </c>
      <c r="F810" t="s">
        <v>19</v>
      </c>
      <c r="G810" t="s">
        <v>132</v>
      </c>
      <c r="H810" t="s">
        <v>129</v>
      </c>
      <c r="I810" t="s">
        <v>22</v>
      </c>
      <c r="J810" t="s">
        <v>37</v>
      </c>
      <c r="K810" t="s">
        <v>144</v>
      </c>
      <c r="L810">
        <v>9</v>
      </c>
      <c r="M810">
        <v>106.87</v>
      </c>
      <c r="N810">
        <v>0.1</v>
      </c>
      <c r="O810">
        <v>961.83</v>
      </c>
      <c r="P810">
        <v>-90.95</v>
      </c>
    </row>
    <row r="811" spans="1:16" x14ac:dyDescent="0.35">
      <c r="A811" t="s">
        <v>1133</v>
      </c>
      <c r="B811" s="1">
        <v>45024</v>
      </c>
      <c r="C811" s="1">
        <v>45028</v>
      </c>
      <c r="D811" t="s">
        <v>17</v>
      </c>
      <c r="E811" t="s">
        <v>389</v>
      </c>
      <c r="F811" t="s">
        <v>19</v>
      </c>
      <c r="G811" t="s">
        <v>61</v>
      </c>
      <c r="H811" t="s">
        <v>73</v>
      </c>
      <c r="I811" t="s">
        <v>30</v>
      </c>
      <c r="J811" t="s">
        <v>99</v>
      </c>
      <c r="K811" t="s">
        <v>247</v>
      </c>
      <c r="L811">
        <v>10</v>
      </c>
      <c r="M811">
        <v>100.54</v>
      </c>
      <c r="N811">
        <v>0.3</v>
      </c>
      <c r="O811">
        <v>1005.4</v>
      </c>
      <c r="P811">
        <v>57.82</v>
      </c>
    </row>
    <row r="812" spans="1:16" x14ac:dyDescent="0.35">
      <c r="A812" t="s">
        <v>1134</v>
      </c>
      <c r="B812" s="1">
        <v>45066</v>
      </c>
      <c r="C812" s="1">
        <v>45070</v>
      </c>
      <c r="D812" t="s">
        <v>44</v>
      </c>
      <c r="E812" t="s">
        <v>465</v>
      </c>
      <c r="F812" t="s">
        <v>35</v>
      </c>
      <c r="G812" t="s">
        <v>187</v>
      </c>
      <c r="H812" t="s">
        <v>29</v>
      </c>
      <c r="I812" t="s">
        <v>52</v>
      </c>
      <c r="J812" t="s">
        <v>78</v>
      </c>
      <c r="K812" t="s">
        <v>96</v>
      </c>
      <c r="L812">
        <v>5</v>
      </c>
      <c r="M812">
        <v>510.62</v>
      </c>
      <c r="N812">
        <v>0.2</v>
      </c>
      <c r="O812">
        <v>2553.1</v>
      </c>
      <c r="P812">
        <v>19.79</v>
      </c>
    </row>
    <row r="813" spans="1:16" x14ac:dyDescent="0.35">
      <c r="A813" t="s">
        <v>1135</v>
      </c>
      <c r="B813" s="1">
        <v>45431</v>
      </c>
      <c r="C813" s="1">
        <v>45437</v>
      </c>
      <c r="D813" t="s">
        <v>44</v>
      </c>
      <c r="E813" t="s">
        <v>381</v>
      </c>
      <c r="F813" t="s">
        <v>35</v>
      </c>
      <c r="G813" t="s">
        <v>72</v>
      </c>
      <c r="H813" t="s">
        <v>73</v>
      </c>
      <c r="I813" t="s">
        <v>30</v>
      </c>
      <c r="J813" t="s">
        <v>99</v>
      </c>
      <c r="K813" t="s">
        <v>247</v>
      </c>
      <c r="L813">
        <v>12</v>
      </c>
      <c r="M813">
        <v>89.84</v>
      </c>
      <c r="N813">
        <v>0.1</v>
      </c>
      <c r="O813">
        <v>1078.08</v>
      </c>
      <c r="P813">
        <v>-9.5399999999999991</v>
      </c>
    </row>
    <row r="814" spans="1:16" x14ac:dyDescent="0.35">
      <c r="A814" t="s">
        <v>1136</v>
      </c>
      <c r="B814" s="1">
        <v>45181</v>
      </c>
      <c r="C814" s="1">
        <v>45188</v>
      </c>
      <c r="D814" t="s">
        <v>17</v>
      </c>
      <c r="E814" t="s">
        <v>173</v>
      </c>
      <c r="F814" t="s">
        <v>35</v>
      </c>
      <c r="G814" t="s">
        <v>82</v>
      </c>
      <c r="I814" t="s">
        <v>22</v>
      </c>
      <c r="J814" t="s">
        <v>74</v>
      </c>
      <c r="K814" t="s">
        <v>165</v>
      </c>
      <c r="L814">
        <v>12</v>
      </c>
      <c r="M814">
        <v>737.34</v>
      </c>
      <c r="N814">
        <v>0.3</v>
      </c>
      <c r="O814">
        <v>8848.08</v>
      </c>
      <c r="P814">
        <v>1802.6</v>
      </c>
    </row>
    <row r="815" spans="1:16" x14ac:dyDescent="0.35">
      <c r="A815" t="s">
        <v>1137</v>
      </c>
      <c r="B815" s="1">
        <v>45025</v>
      </c>
      <c r="C815" s="1">
        <v>45027</v>
      </c>
      <c r="D815" t="s">
        <v>59</v>
      </c>
      <c r="E815" t="s">
        <v>615</v>
      </c>
      <c r="F815" t="s">
        <v>19</v>
      </c>
      <c r="G815" t="s">
        <v>111</v>
      </c>
      <c r="H815" t="s">
        <v>112</v>
      </c>
      <c r="I815" t="s">
        <v>30</v>
      </c>
      <c r="J815" t="s">
        <v>31</v>
      </c>
      <c r="K815" t="s">
        <v>87</v>
      </c>
      <c r="L815">
        <v>9</v>
      </c>
      <c r="M815">
        <v>745.63</v>
      </c>
      <c r="N815">
        <v>0.3</v>
      </c>
      <c r="O815">
        <v>6710.67</v>
      </c>
      <c r="P815">
        <v>1270.19</v>
      </c>
    </row>
    <row r="816" spans="1:16" x14ac:dyDescent="0.35">
      <c r="A816" t="s">
        <v>1138</v>
      </c>
      <c r="B816" s="1">
        <v>45021</v>
      </c>
      <c r="C816" s="1">
        <v>45026</v>
      </c>
      <c r="E816" t="s">
        <v>410</v>
      </c>
      <c r="F816" t="s">
        <v>35</v>
      </c>
      <c r="G816" t="s">
        <v>288</v>
      </c>
      <c r="H816" t="s">
        <v>112</v>
      </c>
      <c r="I816" t="s">
        <v>22</v>
      </c>
      <c r="J816" t="s">
        <v>115</v>
      </c>
      <c r="K816" t="s">
        <v>133</v>
      </c>
      <c r="L816">
        <v>12</v>
      </c>
      <c r="M816">
        <v>634.04999999999995</v>
      </c>
      <c r="N816">
        <v>0.3</v>
      </c>
      <c r="O816">
        <v>7608.6</v>
      </c>
      <c r="P816">
        <v>2311.6999999999998</v>
      </c>
    </row>
    <row r="817" spans="1:16" x14ac:dyDescent="0.35">
      <c r="A817" t="s">
        <v>1139</v>
      </c>
      <c r="B817" s="1">
        <v>44946</v>
      </c>
      <c r="C817" s="1">
        <v>44950</v>
      </c>
      <c r="D817" t="s">
        <v>59</v>
      </c>
      <c r="E817" t="s">
        <v>784</v>
      </c>
      <c r="F817" t="s">
        <v>19</v>
      </c>
      <c r="G817" t="s">
        <v>82</v>
      </c>
      <c r="H817" t="s">
        <v>83</v>
      </c>
      <c r="I817" t="s">
        <v>52</v>
      </c>
      <c r="J817" t="s">
        <v>53</v>
      </c>
      <c r="K817" t="s">
        <v>91</v>
      </c>
      <c r="L817">
        <v>2</v>
      </c>
      <c r="M817">
        <v>367.5</v>
      </c>
      <c r="N817">
        <v>0</v>
      </c>
      <c r="O817">
        <v>735</v>
      </c>
      <c r="P817">
        <v>-47.09</v>
      </c>
    </row>
    <row r="818" spans="1:16" x14ac:dyDescent="0.35">
      <c r="A818" t="s">
        <v>1140</v>
      </c>
      <c r="B818" s="1">
        <v>45505</v>
      </c>
      <c r="C818" s="1">
        <v>45509</v>
      </c>
      <c r="D818" t="s">
        <v>44</v>
      </c>
      <c r="E818" t="s">
        <v>533</v>
      </c>
      <c r="F818" t="s">
        <v>27</v>
      </c>
      <c r="G818" t="s">
        <v>103</v>
      </c>
      <c r="H818" t="s">
        <v>62</v>
      </c>
      <c r="I818" t="s">
        <v>22</v>
      </c>
      <c r="J818" t="s">
        <v>74</v>
      </c>
      <c r="K818" t="s">
        <v>253</v>
      </c>
      <c r="L818">
        <v>3</v>
      </c>
      <c r="M818">
        <v>812.52</v>
      </c>
      <c r="N818">
        <v>0</v>
      </c>
      <c r="O818">
        <v>2437.56</v>
      </c>
      <c r="P818">
        <v>674.66</v>
      </c>
    </row>
    <row r="819" spans="1:16" x14ac:dyDescent="0.35">
      <c r="A819" t="s">
        <v>1141</v>
      </c>
      <c r="B819" s="1">
        <v>45541</v>
      </c>
      <c r="C819" s="1">
        <v>45545</v>
      </c>
      <c r="D819" t="s">
        <v>59</v>
      </c>
      <c r="E819" t="s">
        <v>131</v>
      </c>
      <c r="F819" t="s">
        <v>19</v>
      </c>
      <c r="G819" t="s">
        <v>45</v>
      </c>
      <c r="H819" t="s">
        <v>123</v>
      </c>
      <c r="I819" t="s">
        <v>22</v>
      </c>
      <c r="J819" t="s">
        <v>74</v>
      </c>
      <c r="K819" t="s">
        <v>75</v>
      </c>
      <c r="L819">
        <v>10</v>
      </c>
      <c r="M819">
        <v>313.94</v>
      </c>
      <c r="N819">
        <v>0.1</v>
      </c>
      <c r="O819">
        <v>3139.4</v>
      </c>
      <c r="P819">
        <v>-438.74</v>
      </c>
    </row>
    <row r="820" spans="1:16" x14ac:dyDescent="0.35">
      <c r="A820" t="s">
        <v>1142</v>
      </c>
      <c r="B820" s="1">
        <v>45323</v>
      </c>
      <c r="C820" s="1">
        <v>45327</v>
      </c>
      <c r="D820" t="s">
        <v>17</v>
      </c>
      <c r="E820" t="s">
        <v>486</v>
      </c>
      <c r="F820" t="s">
        <v>35</v>
      </c>
      <c r="G820" t="s">
        <v>288</v>
      </c>
      <c r="H820" t="s">
        <v>112</v>
      </c>
      <c r="I820" t="s">
        <v>30</v>
      </c>
      <c r="J820" t="s">
        <v>99</v>
      </c>
      <c r="K820" t="s">
        <v>100</v>
      </c>
      <c r="L820">
        <v>5</v>
      </c>
      <c r="M820">
        <v>855.43</v>
      </c>
      <c r="N820">
        <v>0</v>
      </c>
      <c r="O820">
        <v>4277.1499999999996</v>
      </c>
      <c r="P820">
        <v>946.03</v>
      </c>
    </row>
    <row r="821" spans="1:16" x14ac:dyDescent="0.35">
      <c r="A821" t="s">
        <v>1143</v>
      </c>
      <c r="B821" s="1">
        <v>44995</v>
      </c>
      <c r="C821" s="1">
        <v>44996</v>
      </c>
      <c r="D821" t="s">
        <v>17</v>
      </c>
      <c r="E821" t="s">
        <v>351</v>
      </c>
      <c r="F821" t="s">
        <v>35</v>
      </c>
      <c r="G821" t="s">
        <v>132</v>
      </c>
      <c r="H821" t="s">
        <v>129</v>
      </c>
      <c r="I821" t="s">
        <v>52</v>
      </c>
      <c r="J821" t="s">
        <v>53</v>
      </c>
      <c r="K821" t="s">
        <v>91</v>
      </c>
      <c r="L821">
        <v>10</v>
      </c>
      <c r="M821">
        <v>472.69</v>
      </c>
      <c r="N821">
        <v>0.1</v>
      </c>
      <c r="O821">
        <v>4726.8999999999996</v>
      </c>
      <c r="P821">
        <v>-443.1</v>
      </c>
    </row>
    <row r="822" spans="1:16" x14ac:dyDescent="0.35">
      <c r="A822" t="s">
        <v>1144</v>
      </c>
      <c r="B822" s="1">
        <v>45142</v>
      </c>
      <c r="C822" s="1">
        <v>45148</v>
      </c>
      <c r="D822" t="s">
        <v>65</v>
      </c>
      <c r="E822" t="s">
        <v>999</v>
      </c>
      <c r="F822" t="s">
        <v>27</v>
      </c>
      <c r="G822" t="s">
        <v>181</v>
      </c>
      <c r="H822" t="s">
        <v>46</v>
      </c>
      <c r="I822" t="s">
        <v>30</v>
      </c>
      <c r="J822" t="s">
        <v>47</v>
      </c>
      <c r="K822" t="s">
        <v>94</v>
      </c>
      <c r="L822">
        <v>3</v>
      </c>
      <c r="M822">
        <v>653.26</v>
      </c>
      <c r="N822">
        <v>0.3</v>
      </c>
      <c r="O822">
        <v>1959.78</v>
      </c>
      <c r="P822">
        <v>-173.2</v>
      </c>
    </row>
    <row r="823" spans="1:16" x14ac:dyDescent="0.35">
      <c r="A823" t="s">
        <v>1145</v>
      </c>
      <c r="B823" s="1">
        <v>45496</v>
      </c>
      <c r="C823" s="1">
        <v>45499</v>
      </c>
      <c r="D823" t="s">
        <v>65</v>
      </c>
      <c r="E823" t="s">
        <v>120</v>
      </c>
      <c r="F823" t="s">
        <v>35</v>
      </c>
      <c r="G823" t="s">
        <v>82</v>
      </c>
      <c r="H823" t="s">
        <v>83</v>
      </c>
      <c r="I823" t="s">
        <v>30</v>
      </c>
      <c r="J823" t="s">
        <v>31</v>
      </c>
      <c r="K823" t="s">
        <v>87</v>
      </c>
      <c r="L823">
        <v>11</v>
      </c>
      <c r="M823">
        <v>580.22</v>
      </c>
      <c r="N823">
        <v>0</v>
      </c>
      <c r="O823">
        <v>6382.42</v>
      </c>
    </row>
    <row r="824" spans="1:16" x14ac:dyDescent="0.35">
      <c r="A824" t="s">
        <v>1146</v>
      </c>
      <c r="B824" s="1">
        <v>45262</v>
      </c>
      <c r="C824" s="1">
        <v>45263</v>
      </c>
      <c r="D824" t="s">
        <v>59</v>
      </c>
      <c r="E824" t="s">
        <v>567</v>
      </c>
      <c r="F824" t="s">
        <v>35</v>
      </c>
      <c r="H824" t="s">
        <v>73</v>
      </c>
      <c r="I824" t="s">
        <v>52</v>
      </c>
      <c r="J824" t="s">
        <v>194</v>
      </c>
      <c r="K824" t="s">
        <v>306</v>
      </c>
      <c r="L824">
        <v>12</v>
      </c>
      <c r="M824">
        <v>562.33000000000004</v>
      </c>
      <c r="N824">
        <v>0.1</v>
      </c>
      <c r="O824">
        <v>6747.96</v>
      </c>
      <c r="P824">
        <v>230.35</v>
      </c>
    </row>
    <row r="825" spans="1:16" x14ac:dyDescent="0.35">
      <c r="A825" t="s">
        <v>1147</v>
      </c>
      <c r="B825" s="1">
        <v>45493</v>
      </c>
      <c r="C825" s="1">
        <v>45500</v>
      </c>
      <c r="D825" t="s">
        <v>17</v>
      </c>
      <c r="E825" t="s">
        <v>770</v>
      </c>
      <c r="F825" t="s">
        <v>35</v>
      </c>
      <c r="G825" t="s">
        <v>28</v>
      </c>
      <c r="H825" t="s">
        <v>29</v>
      </c>
      <c r="I825" t="s">
        <v>22</v>
      </c>
      <c r="J825" t="s">
        <v>37</v>
      </c>
      <c r="K825" t="s">
        <v>38</v>
      </c>
      <c r="L825">
        <v>8</v>
      </c>
      <c r="M825">
        <v>254.86</v>
      </c>
      <c r="N825">
        <v>0.2</v>
      </c>
      <c r="O825">
        <v>2038.88</v>
      </c>
      <c r="P825">
        <v>130.6</v>
      </c>
    </row>
    <row r="826" spans="1:16" x14ac:dyDescent="0.35">
      <c r="A826" t="s">
        <v>1148</v>
      </c>
      <c r="B826" s="1">
        <v>45560</v>
      </c>
      <c r="C826" s="1">
        <v>45563</v>
      </c>
      <c r="D826" t="s">
        <v>65</v>
      </c>
      <c r="E826" t="s">
        <v>363</v>
      </c>
      <c r="F826" t="s">
        <v>27</v>
      </c>
      <c r="G826" t="s">
        <v>28</v>
      </c>
      <c r="H826" t="s">
        <v>159</v>
      </c>
      <c r="I826" t="s">
        <v>52</v>
      </c>
      <c r="J826" t="s">
        <v>194</v>
      </c>
      <c r="K826" t="s">
        <v>306</v>
      </c>
      <c r="L826">
        <v>6</v>
      </c>
      <c r="M826">
        <v>327.83</v>
      </c>
      <c r="N826">
        <v>0</v>
      </c>
      <c r="O826">
        <v>1966.98</v>
      </c>
      <c r="P826">
        <v>-289.94</v>
      </c>
    </row>
    <row r="827" spans="1:16" x14ac:dyDescent="0.35">
      <c r="A827" t="s">
        <v>1149</v>
      </c>
      <c r="B827" s="1">
        <v>45332</v>
      </c>
      <c r="C827" s="1">
        <v>45334</v>
      </c>
      <c r="D827" t="s">
        <v>59</v>
      </c>
      <c r="E827" t="s">
        <v>784</v>
      </c>
      <c r="F827" t="s">
        <v>35</v>
      </c>
      <c r="G827" t="s">
        <v>28</v>
      </c>
      <c r="H827" t="s">
        <v>159</v>
      </c>
      <c r="I827" t="s">
        <v>30</v>
      </c>
      <c r="J827" t="s">
        <v>99</v>
      </c>
      <c r="K827" t="s">
        <v>154</v>
      </c>
      <c r="L827">
        <v>6</v>
      </c>
      <c r="M827">
        <v>874.81</v>
      </c>
      <c r="N827">
        <v>0.2</v>
      </c>
      <c r="O827">
        <v>5248.86</v>
      </c>
      <c r="P827">
        <v>832.58</v>
      </c>
    </row>
    <row r="828" spans="1:16" x14ac:dyDescent="0.35">
      <c r="A828" t="s">
        <v>1150</v>
      </c>
      <c r="B828" s="1">
        <v>45092</v>
      </c>
      <c r="C828" s="1">
        <v>45099</v>
      </c>
      <c r="D828" t="s">
        <v>17</v>
      </c>
      <c r="E828" t="s">
        <v>435</v>
      </c>
      <c r="F828" t="s">
        <v>19</v>
      </c>
      <c r="G828" t="s">
        <v>82</v>
      </c>
      <c r="H828" t="s">
        <v>123</v>
      </c>
      <c r="I828" t="s">
        <v>52</v>
      </c>
      <c r="J828" t="s">
        <v>78</v>
      </c>
      <c r="K828" t="s">
        <v>79</v>
      </c>
      <c r="L828">
        <v>5</v>
      </c>
      <c r="M828">
        <v>164.25</v>
      </c>
      <c r="N828">
        <v>0</v>
      </c>
      <c r="O828">
        <v>821.25</v>
      </c>
      <c r="P828">
        <v>78.73</v>
      </c>
    </row>
    <row r="829" spans="1:16" x14ac:dyDescent="0.35">
      <c r="A829" t="s">
        <v>1151</v>
      </c>
      <c r="B829" s="1">
        <v>45421</v>
      </c>
      <c r="C829" s="1">
        <v>45428</v>
      </c>
      <c r="D829" t="s">
        <v>65</v>
      </c>
      <c r="E829" t="s">
        <v>758</v>
      </c>
      <c r="F829" t="s">
        <v>19</v>
      </c>
      <c r="G829" t="s">
        <v>107</v>
      </c>
      <c r="H829" t="s">
        <v>46</v>
      </c>
      <c r="I829" t="s">
        <v>30</v>
      </c>
      <c r="J829" t="s">
        <v>31</v>
      </c>
      <c r="K829" t="s">
        <v>32</v>
      </c>
      <c r="L829">
        <v>6</v>
      </c>
      <c r="M829">
        <v>557.03</v>
      </c>
      <c r="N829">
        <v>0</v>
      </c>
      <c r="O829">
        <v>3342.18</v>
      </c>
      <c r="P829">
        <v>920.09</v>
      </c>
    </row>
    <row r="830" spans="1:16" x14ac:dyDescent="0.35">
      <c r="A830" t="s">
        <v>1152</v>
      </c>
      <c r="B830" s="1">
        <v>45056</v>
      </c>
      <c r="C830" s="1">
        <v>45057</v>
      </c>
      <c r="D830" t="s">
        <v>44</v>
      </c>
      <c r="E830" t="s">
        <v>156</v>
      </c>
      <c r="F830" t="s">
        <v>19</v>
      </c>
      <c r="G830" t="s">
        <v>86</v>
      </c>
      <c r="H830" t="s">
        <v>29</v>
      </c>
      <c r="I830" t="s">
        <v>52</v>
      </c>
      <c r="J830" t="s">
        <v>53</v>
      </c>
      <c r="K830" t="s">
        <v>54</v>
      </c>
      <c r="L830">
        <v>11</v>
      </c>
      <c r="M830">
        <v>407.68</v>
      </c>
      <c r="N830">
        <v>0</v>
      </c>
      <c r="O830">
        <v>4484.4799999999996</v>
      </c>
      <c r="P830">
        <v>161.47</v>
      </c>
    </row>
    <row r="831" spans="1:16" x14ac:dyDescent="0.35">
      <c r="A831" t="s">
        <v>1153</v>
      </c>
      <c r="B831" s="1">
        <v>45067</v>
      </c>
      <c r="C831" s="1">
        <v>45072</v>
      </c>
      <c r="D831" t="s">
        <v>44</v>
      </c>
      <c r="E831" t="s">
        <v>941</v>
      </c>
      <c r="F831" t="s">
        <v>27</v>
      </c>
      <c r="G831" t="s">
        <v>51</v>
      </c>
      <c r="H831" t="s">
        <v>36</v>
      </c>
      <c r="I831" t="s">
        <v>22</v>
      </c>
      <c r="J831" t="s">
        <v>115</v>
      </c>
      <c r="K831" t="s">
        <v>147</v>
      </c>
      <c r="L831">
        <v>12</v>
      </c>
      <c r="M831">
        <v>171.51</v>
      </c>
      <c r="N831">
        <v>0.15</v>
      </c>
      <c r="O831">
        <v>2058.12</v>
      </c>
      <c r="P831">
        <v>89.52</v>
      </c>
    </row>
    <row r="832" spans="1:16" x14ac:dyDescent="0.35">
      <c r="A832" t="s">
        <v>1154</v>
      </c>
      <c r="B832" s="1">
        <v>45185</v>
      </c>
      <c r="C832" s="1">
        <v>45187</v>
      </c>
      <c r="D832" t="s">
        <v>65</v>
      </c>
      <c r="E832" t="s">
        <v>786</v>
      </c>
      <c r="F832" t="s">
        <v>35</v>
      </c>
      <c r="G832" t="s">
        <v>90</v>
      </c>
      <c r="H832" t="s">
        <v>73</v>
      </c>
      <c r="I832" t="s">
        <v>52</v>
      </c>
      <c r="J832" t="s">
        <v>68</v>
      </c>
      <c r="K832" t="s">
        <v>69</v>
      </c>
      <c r="L832">
        <v>12</v>
      </c>
      <c r="M832">
        <v>279.44</v>
      </c>
      <c r="N832">
        <v>0.1</v>
      </c>
      <c r="O832">
        <v>3353.28</v>
      </c>
      <c r="P832">
        <v>1167.2</v>
      </c>
    </row>
    <row r="833" spans="1:16" x14ac:dyDescent="0.35">
      <c r="A833" t="s">
        <v>1155</v>
      </c>
      <c r="B833" s="1">
        <v>45337</v>
      </c>
      <c r="C833" s="1">
        <v>45344</v>
      </c>
      <c r="D833" t="s">
        <v>65</v>
      </c>
      <c r="E833" t="s">
        <v>403</v>
      </c>
      <c r="F833" t="s">
        <v>35</v>
      </c>
      <c r="G833" t="s">
        <v>20</v>
      </c>
      <c r="H833" t="s">
        <v>36</v>
      </c>
      <c r="I833" t="s">
        <v>30</v>
      </c>
      <c r="J833" t="s">
        <v>47</v>
      </c>
      <c r="K833" t="s">
        <v>63</v>
      </c>
      <c r="L833">
        <v>12</v>
      </c>
      <c r="M833">
        <v>725.61</v>
      </c>
      <c r="N833">
        <v>0</v>
      </c>
      <c r="O833">
        <v>8707.32</v>
      </c>
      <c r="P833">
        <v>71.98</v>
      </c>
    </row>
    <row r="834" spans="1:16" x14ac:dyDescent="0.35">
      <c r="A834" t="s">
        <v>1156</v>
      </c>
      <c r="B834" s="1">
        <v>45581</v>
      </c>
      <c r="C834" s="1">
        <v>45582</v>
      </c>
      <c r="D834" t="s">
        <v>17</v>
      </c>
      <c r="E834" t="s">
        <v>139</v>
      </c>
      <c r="F834" t="s">
        <v>19</v>
      </c>
      <c r="G834" t="s">
        <v>82</v>
      </c>
      <c r="H834" t="s">
        <v>123</v>
      </c>
      <c r="I834" t="s">
        <v>30</v>
      </c>
      <c r="J834" t="s">
        <v>99</v>
      </c>
      <c r="K834" t="s">
        <v>100</v>
      </c>
      <c r="L834">
        <v>10</v>
      </c>
      <c r="M834">
        <v>382.62</v>
      </c>
      <c r="N834">
        <v>0</v>
      </c>
      <c r="O834">
        <v>3826.2</v>
      </c>
      <c r="P834">
        <v>-394.68</v>
      </c>
    </row>
    <row r="835" spans="1:16" x14ac:dyDescent="0.35">
      <c r="A835" t="s">
        <v>1157</v>
      </c>
      <c r="B835" s="1">
        <v>45536</v>
      </c>
      <c r="C835" s="1">
        <v>45537</v>
      </c>
      <c r="D835" t="s">
        <v>65</v>
      </c>
      <c r="E835" t="s">
        <v>276</v>
      </c>
      <c r="F835" t="s">
        <v>35</v>
      </c>
      <c r="G835" t="s">
        <v>67</v>
      </c>
      <c r="H835" t="s">
        <v>36</v>
      </c>
      <c r="I835" t="s">
        <v>22</v>
      </c>
      <c r="J835" t="s">
        <v>74</v>
      </c>
      <c r="K835" t="s">
        <v>75</v>
      </c>
      <c r="L835">
        <v>8</v>
      </c>
      <c r="M835">
        <v>789.96</v>
      </c>
      <c r="N835">
        <v>0</v>
      </c>
      <c r="O835">
        <v>6319.68</v>
      </c>
      <c r="P835">
        <v>480</v>
      </c>
    </row>
    <row r="836" spans="1:16" x14ac:dyDescent="0.35">
      <c r="A836" t="s">
        <v>1158</v>
      </c>
      <c r="B836" s="1">
        <v>45291</v>
      </c>
      <c r="C836" s="1">
        <v>45294</v>
      </c>
      <c r="D836" t="s">
        <v>59</v>
      </c>
      <c r="E836" t="s">
        <v>758</v>
      </c>
      <c r="F836" t="s">
        <v>27</v>
      </c>
      <c r="G836" t="s">
        <v>20</v>
      </c>
      <c r="H836" t="s">
        <v>21</v>
      </c>
      <c r="I836" t="s">
        <v>52</v>
      </c>
      <c r="J836" t="s">
        <v>53</v>
      </c>
      <c r="K836" t="s">
        <v>54</v>
      </c>
      <c r="L836">
        <v>2</v>
      </c>
      <c r="M836">
        <v>412.75</v>
      </c>
      <c r="N836">
        <v>0.2</v>
      </c>
      <c r="O836">
        <v>825.5</v>
      </c>
      <c r="P836">
        <v>142.16</v>
      </c>
    </row>
    <row r="837" spans="1:16" x14ac:dyDescent="0.35">
      <c r="A837" t="s">
        <v>1159</v>
      </c>
      <c r="B837" s="1">
        <v>45472</v>
      </c>
      <c r="C837" s="1">
        <v>45476</v>
      </c>
      <c r="D837" t="s">
        <v>59</v>
      </c>
      <c r="E837" t="s">
        <v>410</v>
      </c>
      <c r="F837" t="s">
        <v>27</v>
      </c>
      <c r="G837" t="s">
        <v>132</v>
      </c>
      <c r="H837" t="s">
        <v>112</v>
      </c>
      <c r="I837" t="s">
        <v>22</v>
      </c>
      <c r="J837" t="s">
        <v>23</v>
      </c>
      <c r="K837" t="s">
        <v>289</v>
      </c>
      <c r="L837">
        <v>7</v>
      </c>
      <c r="M837">
        <v>64.12</v>
      </c>
      <c r="N837">
        <v>0</v>
      </c>
      <c r="O837">
        <v>448.84</v>
      </c>
      <c r="P837">
        <v>115.33</v>
      </c>
    </row>
    <row r="838" spans="1:16" x14ac:dyDescent="0.35">
      <c r="A838" t="s">
        <v>1160</v>
      </c>
      <c r="B838" s="1">
        <v>45545</v>
      </c>
      <c r="C838" s="1">
        <v>45551</v>
      </c>
      <c r="D838" t="s">
        <v>65</v>
      </c>
      <c r="E838" t="s">
        <v>291</v>
      </c>
      <c r="F838" t="s">
        <v>35</v>
      </c>
      <c r="G838" t="s">
        <v>107</v>
      </c>
      <c r="H838" t="s">
        <v>123</v>
      </c>
      <c r="I838" t="s">
        <v>22</v>
      </c>
      <c r="J838" t="s">
        <v>37</v>
      </c>
      <c r="K838" t="s">
        <v>144</v>
      </c>
      <c r="L838">
        <v>1</v>
      </c>
      <c r="M838">
        <v>749.35</v>
      </c>
      <c r="N838">
        <v>0</v>
      </c>
      <c r="O838">
        <v>749.35</v>
      </c>
      <c r="P838">
        <v>229.67</v>
      </c>
    </row>
    <row r="839" spans="1:16" x14ac:dyDescent="0.35">
      <c r="A839" t="s">
        <v>1161</v>
      </c>
      <c r="B839" s="1">
        <v>45074</v>
      </c>
      <c r="C839" s="1">
        <v>45078</v>
      </c>
      <c r="D839" t="s">
        <v>44</v>
      </c>
      <c r="E839" t="s">
        <v>941</v>
      </c>
      <c r="F839" t="s">
        <v>35</v>
      </c>
      <c r="G839" t="s">
        <v>45</v>
      </c>
      <c r="H839" t="s">
        <v>46</v>
      </c>
      <c r="I839" t="s">
        <v>22</v>
      </c>
      <c r="J839" t="s">
        <v>23</v>
      </c>
      <c r="K839" t="s">
        <v>178</v>
      </c>
      <c r="L839">
        <v>6</v>
      </c>
      <c r="M839">
        <v>807.98</v>
      </c>
      <c r="N839">
        <v>0</v>
      </c>
      <c r="O839">
        <v>4847.88</v>
      </c>
      <c r="P839">
        <v>290.58999999999997</v>
      </c>
    </row>
    <row r="840" spans="1:16" x14ac:dyDescent="0.35">
      <c r="A840" t="s">
        <v>1162</v>
      </c>
      <c r="B840" s="1">
        <v>45452</v>
      </c>
      <c r="C840" s="1">
        <v>45456</v>
      </c>
      <c r="D840" t="s">
        <v>44</v>
      </c>
      <c r="E840" t="s">
        <v>213</v>
      </c>
      <c r="F840" t="s">
        <v>27</v>
      </c>
      <c r="G840" t="s">
        <v>111</v>
      </c>
      <c r="H840" t="s">
        <v>129</v>
      </c>
      <c r="I840" t="s">
        <v>52</v>
      </c>
      <c r="J840" t="s">
        <v>194</v>
      </c>
      <c r="K840" t="s">
        <v>306</v>
      </c>
      <c r="L840">
        <v>1</v>
      </c>
      <c r="M840">
        <v>508.46</v>
      </c>
      <c r="N840">
        <v>0</v>
      </c>
      <c r="O840">
        <v>508.46</v>
      </c>
      <c r="P840">
        <v>112.18</v>
      </c>
    </row>
    <row r="841" spans="1:16" x14ac:dyDescent="0.35">
      <c r="A841" t="s">
        <v>1163</v>
      </c>
      <c r="B841" s="1">
        <v>45080</v>
      </c>
      <c r="C841" s="1">
        <v>45084</v>
      </c>
      <c r="D841" t="s">
        <v>17</v>
      </c>
      <c r="E841" t="s">
        <v>173</v>
      </c>
      <c r="F841" t="s">
        <v>35</v>
      </c>
      <c r="G841" t="s">
        <v>181</v>
      </c>
      <c r="H841" t="s">
        <v>46</v>
      </c>
      <c r="I841" t="s">
        <v>22</v>
      </c>
      <c r="J841" t="s">
        <v>23</v>
      </c>
      <c r="K841" t="s">
        <v>178</v>
      </c>
      <c r="L841">
        <v>8</v>
      </c>
      <c r="M841">
        <v>301.27999999999997</v>
      </c>
      <c r="N841">
        <v>0</v>
      </c>
      <c r="O841">
        <v>2410.2399999999998</v>
      </c>
      <c r="P841">
        <v>391.63</v>
      </c>
    </row>
    <row r="842" spans="1:16" x14ac:dyDescent="0.35">
      <c r="A842" t="s">
        <v>1164</v>
      </c>
      <c r="B842" s="1">
        <v>45334</v>
      </c>
      <c r="C842" s="1">
        <v>45341</v>
      </c>
      <c r="D842" t="s">
        <v>59</v>
      </c>
      <c r="E842" t="s">
        <v>748</v>
      </c>
      <c r="F842" t="s">
        <v>27</v>
      </c>
      <c r="G842" t="s">
        <v>61</v>
      </c>
      <c r="H842" t="s">
        <v>62</v>
      </c>
      <c r="I842" t="s">
        <v>30</v>
      </c>
      <c r="J842" t="s">
        <v>99</v>
      </c>
      <c r="K842" t="s">
        <v>208</v>
      </c>
      <c r="L842">
        <v>11</v>
      </c>
      <c r="M842">
        <v>302.07</v>
      </c>
      <c r="N842">
        <v>0</v>
      </c>
      <c r="O842">
        <v>3322.77</v>
      </c>
      <c r="P842">
        <v>829.6</v>
      </c>
    </row>
    <row r="843" spans="1:16" x14ac:dyDescent="0.35">
      <c r="A843" t="s">
        <v>1165</v>
      </c>
      <c r="B843" s="1">
        <v>45430</v>
      </c>
      <c r="C843" s="1">
        <v>45433</v>
      </c>
      <c r="D843" t="s">
        <v>65</v>
      </c>
      <c r="E843" t="s">
        <v>685</v>
      </c>
      <c r="F843" t="s">
        <v>35</v>
      </c>
      <c r="G843" t="s">
        <v>51</v>
      </c>
      <c r="H843" t="s">
        <v>21</v>
      </c>
      <c r="I843" t="s">
        <v>30</v>
      </c>
      <c r="J843" t="s">
        <v>41</v>
      </c>
      <c r="K843" t="s">
        <v>191</v>
      </c>
      <c r="L843">
        <v>12</v>
      </c>
      <c r="M843">
        <v>729.98</v>
      </c>
      <c r="N843">
        <v>0.2</v>
      </c>
      <c r="O843">
        <v>8759.76</v>
      </c>
      <c r="P843">
        <v>2097.12</v>
      </c>
    </row>
    <row r="844" spans="1:16" x14ac:dyDescent="0.35">
      <c r="A844" t="s">
        <v>1166</v>
      </c>
      <c r="B844" s="1">
        <v>45476</v>
      </c>
      <c r="C844" s="1">
        <v>45478</v>
      </c>
      <c r="D844" t="s">
        <v>59</v>
      </c>
      <c r="E844" t="s">
        <v>521</v>
      </c>
      <c r="F844" t="s">
        <v>27</v>
      </c>
      <c r="H844" t="s">
        <v>29</v>
      </c>
      <c r="I844" t="s">
        <v>30</v>
      </c>
      <c r="J844" t="s">
        <v>99</v>
      </c>
      <c r="K844" t="s">
        <v>154</v>
      </c>
      <c r="L844">
        <v>8</v>
      </c>
      <c r="M844">
        <v>728.78</v>
      </c>
      <c r="N844">
        <v>0.1</v>
      </c>
      <c r="O844">
        <v>5830.24</v>
      </c>
      <c r="P844">
        <v>-489.9</v>
      </c>
    </row>
    <row r="845" spans="1:16" x14ac:dyDescent="0.35">
      <c r="A845" t="s">
        <v>1167</v>
      </c>
      <c r="B845" s="1">
        <v>45424</v>
      </c>
      <c r="C845" s="1">
        <v>45430</v>
      </c>
      <c r="D845" t="s">
        <v>65</v>
      </c>
      <c r="F845" t="s">
        <v>19</v>
      </c>
      <c r="G845" t="s">
        <v>132</v>
      </c>
      <c r="H845" t="s">
        <v>112</v>
      </c>
      <c r="I845" t="s">
        <v>52</v>
      </c>
      <c r="J845" t="s">
        <v>78</v>
      </c>
      <c r="K845" t="s">
        <v>79</v>
      </c>
      <c r="L845">
        <v>8</v>
      </c>
      <c r="M845">
        <v>454.35</v>
      </c>
      <c r="N845">
        <v>0.3</v>
      </c>
      <c r="O845">
        <v>3634.8</v>
      </c>
      <c r="P845">
        <v>315.39999999999998</v>
      </c>
    </row>
    <row r="846" spans="1:16" x14ac:dyDescent="0.35">
      <c r="A846" t="s">
        <v>1168</v>
      </c>
      <c r="B846" s="1">
        <v>45225</v>
      </c>
      <c r="C846" s="1">
        <v>45231</v>
      </c>
      <c r="D846" t="s">
        <v>65</v>
      </c>
      <c r="E846" t="s">
        <v>218</v>
      </c>
      <c r="F846" t="s">
        <v>35</v>
      </c>
      <c r="G846" t="s">
        <v>211</v>
      </c>
      <c r="H846" t="s">
        <v>29</v>
      </c>
      <c r="I846" t="s">
        <v>30</v>
      </c>
      <c r="J846" t="s">
        <v>31</v>
      </c>
      <c r="K846" t="s">
        <v>57</v>
      </c>
      <c r="L846">
        <v>8</v>
      </c>
      <c r="M846">
        <v>646.75</v>
      </c>
      <c r="N846">
        <v>0.15</v>
      </c>
      <c r="O846">
        <v>5174</v>
      </c>
      <c r="P846">
        <v>411.54</v>
      </c>
    </row>
    <row r="847" spans="1:16" x14ac:dyDescent="0.35">
      <c r="A847" t="s">
        <v>1169</v>
      </c>
      <c r="B847" s="1">
        <v>45142</v>
      </c>
      <c r="C847" s="1">
        <v>45147</v>
      </c>
      <c r="D847" t="s">
        <v>59</v>
      </c>
      <c r="E847" t="s">
        <v>400</v>
      </c>
      <c r="F847" t="s">
        <v>19</v>
      </c>
      <c r="G847" t="s">
        <v>90</v>
      </c>
      <c r="H847" t="s">
        <v>62</v>
      </c>
      <c r="I847" t="s">
        <v>22</v>
      </c>
      <c r="J847" t="s">
        <v>115</v>
      </c>
      <c r="K847" t="s">
        <v>116</v>
      </c>
      <c r="L847">
        <v>4</v>
      </c>
      <c r="M847">
        <v>597.74</v>
      </c>
      <c r="N847">
        <v>0</v>
      </c>
      <c r="O847">
        <v>2390.96</v>
      </c>
      <c r="P847">
        <v>49.77</v>
      </c>
    </row>
    <row r="848" spans="1:16" x14ac:dyDescent="0.35">
      <c r="A848" t="s">
        <v>1170</v>
      </c>
      <c r="B848" s="1">
        <v>45217</v>
      </c>
      <c r="C848" s="1">
        <v>45219</v>
      </c>
      <c r="D848" t="s">
        <v>44</v>
      </c>
      <c r="E848" t="s">
        <v>267</v>
      </c>
      <c r="F848" t="s">
        <v>35</v>
      </c>
      <c r="G848" t="s">
        <v>90</v>
      </c>
      <c r="H848" t="s">
        <v>73</v>
      </c>
      <c r="I848" t="s">
        <v>52</v>
      </c>
      <c r="J848" t="s">
        <v>160</v>
      </c>
      <c r="K848" t="s">
        <v>234</v>
      </c>
      <c r="L848">
        <v>11</v>
      </c>
      <c r="M848">
        <v>767.61</v>
      </c>
      <c r="N848">
        <v>0.2</v>
      </c>
      <c r="O848">
        <v>8443.7099999999991</v>
      </c>
      <c r="P848">
        <v>254.24</v>
      </c>
    </row>
    <row r="849" spans="1:16" x14ac:dyDescent="0.35">
      <c r="A849" t="s">
        <v>1171</v>
      </c>
      <c r="B849" s="1">
        <v>45359</v>
      </c>
      <c r="C849" s="1">
        <v>45364</v>
      </c>
      <c r="D849" t="s">
        <v>44</v>
      </c>
      <c r="E849" t="s">
        <v>941</v>
      </c>
      <c r="F849" t="s">
        <v>27</v>
      </c>
      <c r="G849" t="s">
        <v>181</v>
      </c>
      <c r="H849" t="s">
        <v>46</v>
      </c>
      <c r="I849" t="s">
        <v>52</v>
      </c>
      <c r="J849" t="s">
        <v>53</v>
      </c>
      <c r="K849" t="s">
        <v>91</v>
      </c>
      <c r="L849">
        <v>11</v>
      </c>
      <c r="M849">
        <v>847.5</v>
      </c>
      <c r="N849">
        <v>0.1</v>
      </c>
      <c r="O849">
        <v>9322.5</v>
      </c>
      <c r="P849">
        <v>-9.5</v>
      </c>
    </row>
    <row r="850" spans="1:16" x14ac:dyDescent="0.35">
      <c r="A850" t="s">
        <v>1172</v>
      </c>
      <c r="B850" s="1">
        <v>45066</v>
      </c>
      <c r="C850" s="1">
        <v>45070</v>
      </c>
      <c r="D850" t="s">
        <v>65</v>
      </c>
      <c r="E850" t="s">
        <v>1173</v>
      </c>
      <c r="F850" t="s">
        <v>19</v>
      </c>
      <c r="G850" t="s">
        <v>67</v>
      </c>
      <c r="H850" t="s">
        <v>36</v>
      </c>
      <c r="I850" t="s">
        <v>22</v>
      </c>
      <c r="J850" t="s">
        <v>74</v>
      </c>
      <c r="K850" t="s">
        <v>165</v>
      </c>
      <c r="L850">
        <v>2</v>
      </c>
      <c r="M850">
        <v>349.38</v>
      </c>
      <c r="N850">
        <v>0.1</v>
      </c>
      <c r="O850">
        <v>698.76</v>
      </c>
      <c r="P850">
        <v>104.95</v>
      </c>
    </row>
    <row r="851" spans="1:16" x14ac:dyDescent="0.35">
      <c r="A851" t="s">
        <v>1174</v>
      </c>
      <c r="B851" s="1">
        <v>45379</v>
      </c>
      <c r="C851" s="1">
        <v>45381</v>
      </c>
      <c r="D851" t="s">
        <v>44</v>
      </c>
      <c r="E851" t="s">
        <v>693</v>
      </c>
      <c r="F851" t="s">
        <v>27</v>
      </c>
      <c r="G851" t="s">
        <v>86</v>
      </c>
      <c r="H851" t="s">
        <v>159</v>
      </c>
      <c r="I851" t="s">
        <v>22</v>
      </c>
      <c r="J851" t="s">
        <v>23</v>
      </c>
      <c r="K851" t="s">
        <v>24</v>
      </c>
      <c r="L851">
        <v>11</v>
      </c>
      <c r="M851">
        <v>223.35</v>
      </c>
      <c r="N851">
        <v>0.15</v>
      </c>
      <c r="O851">
        <v>2456.85</v>
      </c>
      <c r="P851">
        <v>-198.36</v>
      </c>
    </row>
    <row r="852" spans="1:16" x14ac:dyDescent="0.35">
      <c r="A852" t="s">
        <v>1175</v>
      </c>
      <c r="B852" s="1">
        <v>45628</v>
      </c>
      <c r="C852" s="1">
        <v>45631</v>
      </c>
      <c r="D852" t="s">
        <v>44</v>
      </c>
      <c r="E852" t="s">
        <v>579</v>
      </c>
      <c r="F852" t="s">
        <v>19</v>
      </c>
      <c r="G852" t="s">
        <v>61</v>
      </c>
      <c r="H852" t="s">
        <v>73</v>
      </c>
      <c r="I852" t="s">
        <v>52</v>
      </c>
      <c r="J852" t="s">
        <v>78</v>
      </c>
      <c r="K852" t="s">
        <v>79</v>
      </c>
      <c r="L852">
        <v>3</v>
      </c>
      <c r="M852">
        <v>561.54999999999995</v>
      </c>
      <c r="N852">
        <v>0</v>
      </c>
      <c r="O852">
        <v>1684.65</v>
      </c>
      <c r="P852">
        <v>329.09</v>
      </c>
    </row>
    <row r="853" spans="1:16" x14ac:dyDescent="0.35">
      <c r="A853" t="s">
        <v>1176</v>
      </c>
      <c r="B853" s="1">
        <v>44934</v>
      </c>
      <c r="C853" s="1">
        <v>44940</v>
      </c>
      <c r="D853" t="s">
        <v>59</v>
      </c>
      <c r="E853" t="s">
        <v>1177</v>
      </c>
      <c r="F853" t="s">
        <v>27</v>
      </c>
      <c r="G853" t="s">
        <v>103</v>
      </c>
      <c r="H853" t="s">
        <v>73</v>
      </c>
      <c r="I853" t="s">
        <v>30</v>
      </c>
      <c r="J853" t="s">
        <v>41</v>
      </c>
      <c r="K853" t="s">
        <v>105</v>
      </c>
      <c r="L853">
        <v>5</v>
      </c>
      <c r="M853">
        <v>839.25</v>
      </c>
      <c r="N853">
        <v>0.1</v>
      </c>
      <c r="O853">
        <v>4196.25</v>
      </c>
      <c r="P853">
        <v>958.66</v>
      </c>
    </row>
    <row r="854" spans="1:16" x14ac:dyDescent="0.35">
      <c r="A854" t="s">
        <v>260</v>
      </c>
      <c r="B854" s="1">
        <v>44953</v>
      </c>
      <c r="C854" s="1">
        <v>44959</v>
      </c>
      <c r="D854" t="s">
        <v>17</v>
      </c>
      <c r="E854" t="s">
        <v>261</v>
      </c>
      <c r="F854" t="s">
        <v>27</v>
      </c>
      <c r="G854" t="s">
        <v>128</v>
      </c>
      <c r="H854" t="s">
        <v>112</v>
      </c>
      <c r="I854" t="s">
        <v>22</v>
      </c>
      <c r="J854" t="s">
        <v>74</v>
      </c>
      <c r="K854" t="s">
        <v>253</v>
      </c>
      <c r="L854">
        <v>8</v>
      </c>
      <c r="M854">
        <v>754.51</v>
      </c>
      <c r="N854">
        <v>0.3</v>
      </c>
      <c r="O854">
        <v>6036.08</v>
      </c>
      <c r="P854">
        <v>-428.04</v>
      </c>
    </row>
    <row r="855" spans="1:16" x14ac:dyDescent="0.35">
      <c r="A855" t="s">
        <v>1178</v>
      </c>
      <c r="B855" s="1">
        <v>45062</v>
      </c>
      <c r="C855" s="1">
        <v>45063</v>
      </c>
      <c r="D855" t="s">
        <v>65</v>
      </c>
      <c r="E855" t="s">
        <v>89</v>
      </c>
      <c r="F855" t="s">
        <v>27</v>
      </c>
      <c r="G855" t="s">
        <v>67</v>
      </c>
      <c r="H855" t="s">
        <v>36</v>
      </c>
      <c r="I855" t="s">
        <v>30</v>
      </c>
      <c r="J855" t="s">
        <v>47</v>
      </c>
      <c r="K855" t="s">
        <v>94</v>
      </c>
      <c r="L855">
        <v>3</v>
      </c>
      <c r="M855">
        <v>451.79</v>
      </c>
      <c r="N855">
        <v>0.3</v>
      </c>
      <c r="O855">
        <v>1355.37</v>
      </c>
      <c r="P855">
        <v>-12.88</v>
      </c>
    </row>
    <row r="856" spans="1:16" x14ac:dyDescent="0.35">
      <c r="A856" t="s">
        <v>1179</v>
      </c>
      <c r="B856" s="1">
        <v>45218</v>
      </c>
      <c r="C856" s="1">
        <v>45221</v>
      </c>
      <c r="D856" t="s">
        <v>17</v>
      </c>
      <c r="E856" t="s">
        <v>204</v>
      </c>
      <c r="F856" t="s">
        <v>27</v>
      </c>
      <c r="G856" t="s">
        <v>332</v>
      </c>
      <c r="H856" t="s">
        <v>83</v>
      </c>
      <c r="I856" t="s">
        <v>22</v>
      </c>
      <c r="J856" t="s">
        <v>74</v>
      </c>
      <c r="K856" t="s">
        <v>75</v>
      </c>
      <c r="L856">
        <v>10</v>
      </c>
      <c r="M856">
        <v>516.85</v>
      </c>
      <c r="N856">
        <v>0</v>
      </c>
      <c r="O856">
        <v>5168.5</v>
      </c>
      <c r="P856">
        <v>1382.06</v>
      </c>
    </row>
    <row r="857" spans="1:16" x14ac:dyDescent="0.35">
      <c r="A857" t="s">
        <v>1180</v>
      </c>
      <c r="B857" s="1">
        <v>45300</v>
      </c>
      <c r="C857" s="1">
        <v>45306</v>
      </c>
      <c r="D857" t="s">
        <v>65</v>
      </c>
      <c r="E857" t="s">
        <v>422</v>
      </c>
      <c r="F857" t="s">
        <v>35</v>
      </c>
      <c r="G857" t="s">
        <v>28</v>
      </c>
      <c r="H857" t="s">
        <v>29</v>
      </c>
      <c r="I857" t="s">
        <v>52</v>
      </c>
      <c r="J857" t="s">
        <v>78</v>
      </c>
      <c r="K857" t="s">
        <v>198</v>
      </c>
      <c r="L857">
        <v>9</v>
      </c>
      <c r="M857">
        <v>789.43</v>
      </c>
      <c r="N857">
        <v>0</v>
      </c>
      <c r="O857">
        <v>7104.87</v>
      </c>
      <c r="P857">
        <v>820.09</v>
      </c>
    </row>
    <row r="858" spans="1:16" x14ac:dyDescent="0.35">
      <c r="A858" t="s">
        <v>1181</v>
      </c>
      <c r="B858" s="1">
        <v>45094</v>
      </c>
      <c r="C858" s="1">
        <v>45098</v>
      </c>
      <c r="D858" t="s">
        <v>17</v>
      </c>
      <c r="E858" t="s">
        <v>386</v>
      </c>
      <c r="F858" t="s">
        <v>35</v>
      </c>
      <c r="G858" t="s">
        <v>45</v>
      </c>
      <c r="H858" t="s">
        <v>83</v>
      </c>
      <c r="I858" t="s">
        <v>52</v>
      </c>
      <c r="J858" t="s">
        <v>194</v>
      </c>
      <c r="K858" t="s">
        <v>195</v>
      </c>
      <c r="L858">
        <v>12</v>
      </c>
      <c r="M858">
        <v>885.06</v>
      </c>
      <c r="N858">
        <v>0.2</v>
      </c>
      <c r="O858">
        <v>10620.72</v>
      </c>
      <c r="P858">
        <v>2910.05</v>
      </c>
    </row>
    <row r="859" spans="1:16" x14ac:dyDescent="0.35">
      <c r="A859" t="s">
        <v>1182</v>
      </c>
      <c r="B859" s="1">
        <v>45458</v>
      </c>
      <c r="C859" s="1">
        <v>45461</v>
      </c>
      <c r="E859" t="s">
        <v>474</v>
      </c>
      <c r="F859" t="s">
        <v>27</v>
      </c>
      <c r="G859" t="s">
        <v>90</v>
      </c>
      <c r="H859" t="s">
        <v>73</v>
      </c>
      <c r="I859" t="s">
        <v>52</v>
      </c>
      <c r="J859" t="s">
        <v>68</v>
      </c>
      <c r="K859" t="s">
        <v>69</v>
      </c>
      <c r="L859">
        <v>5</v>
      </c>
      <c r="M859">
        <v>440.54</v>
      </c>
      <c r="N859">
        <v>0</v>
      </c>
      <c r="O859">
        <v>2202.6999999999998</v>
      </c>
      <c r="P859">
        <v>644.66999999999996</v>
      </c>
    </row>
    <row r="860" spans="1:16" x14ac:dyDescent="0.35">
      <c r="A860" t="s">
        <v>1183</v>
      </c>
      <c r="B860" s="1">
        <v>45250</v>
      </c>
      <c r="C860" s="1">
        <v>45257</v>
      </c>
      <c r="D860" t="s">
        <v>17</v>
      </c>
      <c r="E860" t="s">
        <v>406</v>
      </c>
      <c r="F860" t="s">
        <v>27</v>
      </c>
      <c r="G860" t="s">
        <v>28</v>
      </c>
      <c r="H860" t="s">
        <v>29</v>
      </c>
      <c r="I860" t="s">
        <v>52</v>
      </c>
      <c r="J860" t="s">
        <v>194</v>
      </c>
      <c r="K860" t="s">
        <v>306</v>
      </c>
      <c r="L860">
        <v>8</v>
      </c>
      <c r="M860">
        <v>249.81</v>
      </c>
      <c r="N860">
        <v>0.3</v>
      </c>
      <c r="O860">
        <v>1998.48</v>
      </c>
      <c r="P860">
        <v>473.18</v>
      </c>
    </row>
    <row r="861" spans="1:16" x14ac:dyDescent="0.35">
      <c r="A861" t="s">
        <v>1184</v>
      </c>
      <c r="B861" s="1">
        <v>45227</v>
      </c>
      <c r="C861" s="1">
        <v>45228</v>
      </c>
      <c r="D861" t="s">
        <v>44</v>
      </c>
      <c r="E861" t="s">
        <v>1185</v>
      </c>
      <c r="F861" t="s">
        <v>27</v>
      </c>
      <c r="G861" t="s">
        <v>111</v>
      </c>
      <c r="H861" t="s">
        <v>129</v>
      </c>
      <c r="I861" t="s">
        <v>30</v>
      </c>
      <c r="J861" t="s">
        <v>47</v>
      </c>
      <c r="K861" t="s">
        <v>94</v>
      </c>
      <c r="L861">
        <v>8</v>
      </c>
      <c r="M861">
        <v>439.25</v>
      </c>
      <c r="N861">
        <v>0.3</v>
      </c>
      <c r="O861">
        <v>3514</v>
      </c>
      <c r="P861">
        <v>-349.98</v>
      </c>
    </row>
    <row r="862" spans="1:16" x14ac:dyDescent="0.35">
      <c r="A862" t="s">
        <v>1186</v>
      </c>
      <c r="B862" s="1">
        <v>45572</v>
      </c>
      <c r="C862" s="1">
        <v>45573</v>
      </c>
      <c r="D862" t="s">
        <v>17</v>
      </c>
      <c r="E862" t="s">
        <v>381</v>
      </c>
      <c r="F862" t="s">
        <v>35</v>
      </c>
      <c r="G862" t="s">
        <v>45</v>
      </c>
      <c r="H862" t="s">
        <v>123</v>
      </c>
      <c r="I862" t="s">
        <v>30</v>
      </c>
      <c r="J862" t="s">
        <v>31</v>
      </c>
      <c r="K862" t="s">
        <v>87</v>
      </c>
      <c r="L862">
        <v>3</v>
      </c>
      <c r="M862">
        <v>365.86</v>
      </c>
      <c r="N862">
        <v>0.3</v>
      </c>
      <c r="O862">
        <v>1097.58</v>
      </c>
      <c r="P862">
        <v>95.22</v>
      </c>
    </row>
    <row r="863" spans="1:16" x14ac:dyDescent="0.35">
      <c r="A863" t="s">
        <v>1187</v>
      </c>
      <c r="B863" s="1">
        <v>45356</v>
      </c>
      <c r="C863" s="1">
        <v>45358</v>
      </c>
      <c r="F863" t="s">
        <v>35</v>
      </c>
      <c r="G863" t="s">
        <v>132</v>
      </c>
      <c r="H863" t="s">
        <v>129</v>
      </c>
      <c r="I863" t="s">
        <v>52</v>
      </c>
      <c r="J863" t="s">
        <v>53</v>
      </c>
      <c r="K863" t="s">
        <v>91</v>
      </c>
      <c r="L863">
        <v>10</v>
      </c>
      <c r="M863">
        <v>587.62</v>
      </c>
      <c r="N863">
        <v>0.2</v>
      </c>
      <c r="O863">
        <v>5876.2</v>
      </c>
      <c r="P863">
        <v>-218.65</v>
      </c>
    </row>
    <row r="864" spans="1:16" x14ac:dyDescent="0.35">
      <c r="A864" t="s">
        <v>1188</v>
      </c>
      <c r="B864" s="1">
        <v>45503</v>
      </c>
      <c r="C864" s="1">
        <v>45506</v>
      </c>
      <c r="D864" t="s">
        <v>59</v>
      </c>
      <c r="E864" t="s">
        <v>567</v>
      </c>
      <c r="F864" t="s">
        <v>27</v>
      </c>
      <c r="G864" t="s">
        <v>111</v>
      </c>
      <c r="H864" t="s">
        <v>129</v>
      </c>
      <c r="I864" t="s">
        <v>52</v>
      </c>
      <c r="J864" t="s">
        <v>160</v>
      </c>
      <c r="K864" t="s">
        <v>634</v>
      </c>
      <c r="L864">
        <v>12</v>
      </c>
      <c r="M864">
        <v>785.53</v>
      </c>
      <c r="N864">
        <v>0.2</v>
      </c>
      <c r="O864">
        <v>9426.36</v>
      </c>
      <c r="P864">
        <v>-1288.3599999999999</v>
      </c>
    </row>
    <row r="865" spans="1:16" x14ac:dyDescent="0.35">
      <c r="A865" t="s">
        <v>1189</v>
      </c>
      <c r="B865" s="1">
        <v>45547</v>
      </c>
      <c r="C865" s="1">
        <v>45551</v>
      </c>
      <c r="D865" t="s">
        <v>65</v>
      </c>
      <c r="E865" t="s">
        <v>574</v>
      </c>
      <c r="F865" t="s">
        <v>27</v>
      </c>
      <c r="G865" t="s">
        <v>82</v>
      </c>
      <c r="H865" t="s">
        <v>123</v>
      </c>
      <c r="I865" t="s">
        <v>22</v>
      </c>
      <c r="J865" t="s">
        <v>37</v>
      </c>
      <c r="K865" t="s">
        <v>38</v>
      </c>
      <c r="L865">
        <v>1</v>
      </c>
      <c r="M865">
        <v>16.489999999999998</v>
      </c>
      <c r="N865">
        <v>0.15</v>
      </c>
      <c r="O865">
        <v>16.489999999999998</v>
      </c>
      <c r="P865">
        <v>3.55</v>
      </c>
    </row>
    <row r="866" spans="1:16" x14ac:dyDescent="0.35">
      <c r="A866" t="s">
        <v>1190</v>
      </c>
      <c r="B866" s="1">
        <v>45606</v>
      </c>
      <c r="C866" s="1">
        <v>45611</v>
      </c>
      <c r="D866" t="s">
        <v>44</v>
      </c>
      <c r="E866" t="s">
        <v>114</v>
      </c>
      <c r="F866" t="s">
        <v>27</v>
      </c>
      <c r="G866" t="s">
        <v>28</v>
      </c>
      <c r="H866" t="s">
        <v>159</v>
      </c>
      <c r="I866" t="s">
        <v>52</v>
      </c>
      <c r="J866" t="s">
        <v>160</v>
      </c>
      <c r="K866" t="s">
        <v>234</v>
      </c>
      <c r="L866">
        <v>6</v>
      </c>
      <c r="M866">
        <v>28.24</v>
      </c>
      <c r="N866">
        <v>0.2</v>
      </c>
      <c r="O866">
        <v>169.44</v>
      </c>
      <c r="P866">
        <v>57.72</v>
      </c>
    </row>
    <row r="867" spans="1:16" x14ac:dyDescent="0.35">
      <c r="A867" t="s">
        <v>1191</v>
      </c>
      <c r="B867" s="1">
        <v>45544</v>
      </c>
      <c r="C867" s="1">
        <v>45550</v>
      </c>
      <c r="D867" t="s">
        <v>65</v>
      </c>
      <c r="E867" t="s">
        <v>200</v>
      </c>
      <c r="F867" t="s">
        <v>19</v>
      </c>
      <c r="G867" t="s">
        <v>61</v>
      </c>
      <c r="H867" t="s">
        <v>73</v>
      </c>
      <c r="I867" t="s">
        <v>30</v>
      </c>
      <c r="J867" t="s">
        <v>41</v>
      </c>
      <c r="K867" t="s">
        <v>42</v>
      </c>
      <c r="L867">
        <v>12</v>
      </c>
      <c r="M867">
        <v>840.11</v>
      </c>
      <c r="N867">
        <v>0</v>
      </c>
      <c r="O867">
        <v>10081.32</v>
      </c>
      <c r="P867">
        <v>-503.35</v>
      </c>
    </row>
    <row r="868" spans="1:16" x14ac:dyDescent="0.35">
      <c r="A868" t="s">
        <v>1192</v>
      </c>
      <c r="B868" s="1">
        <v>44927</v>
      </c>
      <c r="C868" s="1">
        <v>44930</v>
      </c>
      <c r="D868" t="s">
        <v>59</v>
      </c>
      <c r="E868" t="s">
        <v>272</v>
      </c>
      <c r="F868" t="s">
        <v>27</v>
      </c>
      <c r="G868" t="s">
        <v>181</v>
      </c>
      <c r="H868" t="s">
        <v>123</v>
      </c>
      <c r="I868" t="s">
        <v>22</v>
      </c>
      <c r="J868" t="s">
        <v>37</v>
      </c>
      <c r="K868" t="s">
        <v>144</v>
      </c>
      <c r="L868">
        <v>5</v>
      </c>
      <c r="M868">
        <v>452.84</v>
      </c>
      <c r="N868">
        <v>0</v>
      </c>
      <c r="O868">
        <v>2264.1999999999998</v>
      </c>
      <c r="P868">
        <v>-67.05</v>
      </c>
    </row>
    <row r="869" spans="1:16" x14ac:dyDescent="0.35">
      <c r="A869" t="s">
        <v>1193</v>
      </c>
      <c r="B869" s="1">
        <v>45108</v>
      </c>
      <c r="C869" s="1">
        <v>45115</v>
      </c>
      <c r="D869" t="s">
        <v>17</v>
      </c>
      <c r="F869" t="s">
        <v>19</v>
      </c>
      <c r="G869" t="s">
        <v>28</v>
      </c>
      <c r="H869" t="s">
        <v>29</v>
      </c>
      <c r="I869" t="s">
        <v>30</v>
      </c>
      <c r="J869" t="s">
        <v>41</v>
      </c>
      <c r="K869" t="s">
        <v>105</v>
      </c>
      <c r="L869">
        <v>2</v>
      </c>
      <c r="M869">
        <v>772.81</v>
      </c>
      <c r="N869">
        <v>0</v>
      </c>
      <c r="O869">
        <v>1545.62</v>
      </c>
      <c r="P869">
        <v>528.14</v>
      </c>
    </row>
    <row r="870" spans="1:16" x14ac:dyDescent="0.35">
      <c r="A870" t="s">
        <v>1194</v>
      </c>
      <c r="B870" s="1">
        <v>45391</v>
      </c>
      <c r="C870" s="1">
        <v>45392</v>
      </c>
      <c r="D870" t="s">
        <v>44</v>
      </c>
      <c r="E870" t="s">
        <v>355</v>
      </c>
      <c r="F870" t="s">
        <v>35</v>
      </c>
      <c r="G870" t="s">
        <v>28</v>
      </c>
      <c r="H870" t="s">
        <v>29</v>
      </c>
      <c r="I870" t="s">
        <v>52</v>
      </c>
      <c r="J870" t="s">
        <v>53</v>
      </c>
      <c r="K870" t="s">
        <v>91</v>
      </c>
      <c r="L870">
        <v>1</v>
      </c>
      <c r="M870">
        <v>751.3</v>
      </c>
      <c r="N870">
        <v>0</v>
      </c>
      <c r="O870">
        <v>751.3</v>
      </c>
      <c r="P870">
        <v>146.52000000000001</v>
      </c>
    </row>
    <row r="871" spans="1:16" x14ac:dyDescent="0.35">
      <c r="A871" t="s">
        <v>1195</v>
      </c>
      <c r="B871" s="1">
        <v>45645</v>
      </c>
      <c r="C871" s="1">
        <v>45646</v>
      </c>
      <c r="D871" t="s">
        <v>17</v>
      </c>
      <c r="E871" t="s">
        <v>122</v>
      </c>
      <c r="F871" t="s">
        <v>35</v>
      </c>
      <c r="G871" t="s">
        <v>20</v>
      </c>
      <c r="H871" t="s">
        <v>21</v>
      </c>
      <c r="I871" t="s">
        <v>52</v>
      </c>
      <c r="J871" t="s">
        <v>78</v>
      </c>
      <c r="K871" t="s">
        <v>79</v>
      </c>
      <c r="L871">
        <v>3</v>
      </c>
      <c r="M871">
        <v>822.27</v>
      </c>
      <c r="N871">
        <v>0</v>
      </c>
      <c r="O871">
        <v>2466.81</v>
      </c>
      <c r="P871">
        <v>-169.29</v>
      </c>
    </row>
    <row r="872" spans="1:16" x14ac:dyDescent="0.35">
      <c r="A872" t="s">
        <v>1196</v>
      </c>
      <c r="B872" s="1">
        <v>45477</v>
      </c>
      <c r="C872" s="1">
        <v>45484</v>
      </c>
      <c r="D872" t="s">
        <v>59</v>
      </c>
      <c r="E872" t="s">
        <v>227</v>
      </c>
      <c r="F872" t="s">
        <v>27</v>
      </c>
      <c r="G872" t="s">
        <v>28</v>
      </c>
      <c r="H872" t="s">
        <v>29</v>
      </c>
      <c r="I872" t="s">
        <v>30</v>
      </c>
      <c r="J872" t="s">
        <v>47</v>
      </c>
      <c r="K872" t="s">
        <v>94</v>
      </c>
      <c r="L872">
        <v>7</v>
      </c>
      <c r="M872">
        <v>660.22</v>
      </c>
      <c r="N872">
        <v>0.15</v>
      </c>
      <c r="O872">
        <v>4621.54</v>
      </c>
      <c r="P872">
        <v>-401.66</v>
      </c>
    </row>
    <row r="873" spans="1:16" x14ac:dyDescent="0.35">
      <c r="A873" t="s">
        <v>1197</v>
      </c>
      <c r="B873" s="1">
        <v>45084</v>
      </c>
      <c r="C873" s="1">
        <v>45087</v>
      </c>
      <c r="D873" t="s">
        <v>59</v>
      </c>
      <c r="E873" t="s">
        <v>463</v>
      </c>
      <c r="F873" t="s">
        <v>19</v>
      </c>
      <c r="G873" t="s">
        <v>61</v>
      </c>
      <c r="H873" t="s">
        <v>62</v>
      </c>
      <c r="I873" t="s">
        <v>30</v>
      </c>
      <c r="J873" t="s">
        <v>31</v>
      </c>
      <c r="K873" t="s">
        <v>32</v>
      </c>
      <c r="L873">
        <v>4</v>
      </c>
      <c r="M873">
        <v>429.93</v>
      </c>
      <c r="N873">
        <v>0</v>
      </c>
      <c r="O873">
        <v>1719.72</v>
      </c>
      <c r="P873">
        <v>231.75</v>
      </c>
    </row>
    <row r="874" spans="1:16" x14ac:dyDescent="0.35">
      <c r="A874" t="s">
        <v>1070</v>
      </c>
      <c r="B874" s="1">
        <v>45475</v>
      </c>
      <c r="C874" s="1">
        <v>45479</v>
      </c>
      <c r="D874" t="s">
        <v>44</v>
      </c>
      <c r="E874" t="s">
        <v>141</v>
      </c>
      <c r="F874" t="s">
        <v>19</v>
      </c>
      <c r="H874" t="s">
        <v>159</v>
      </c>
      <c r="I874" t="s">
        <v>52</v>
      </c>
      <c r="J874" t="s">
        <v>68</v>
      </c>
      <c r="K874" t="s">
        <v>216</v>
      </c>
      <c r="L874">
        <v>12</v>
      </c>
      <c r="M874">
        <v>227.59</v>
      </c>
      <c r="N874">
        <v>0</v>
      </c>
      <c r="O874">
        <v>2731.08</v>
      </c>
      <c r="P874">
        <v>-360.4</v>
      </c>
    </row>
    <row r="875" spans="1:16" x14ac:dyDescent="0.35">
      <c r="A875" t="s">
        <v>1198</v>
      </c>
      <c r="B875" s="1">
        <v>45051</v>
      </c>
      <c r="C875" s="1">
        <v>45056</v>
      </c>
      <c r="D875" t="s">
        <v>59</v>
      </c>
      <c r="E875" t="s">
        <v>310</v>
      </c>
      <c r="F875" t="s">
        <v>19</v>
      </c>
      <c r="H875" t="s">
        <v>29</v>
      </c>
      <c r="I875" t="s">
        <v>30</v>
      </c>
      <c r="J875" t="s">
        <v>31</v>
      </c>
      <c r="K875" t="s">
        <v>57</v>
      </c>
      <c r="L875">
        <v>4</v>
      </c>
      <c r="M875">
        <v>271.19</v>
      </c>
      <c r="N875">
        <v>0.3</v>
      </c>
      <c r="O875">
        <v>1084.76</v>
      </c>
      <c r="P875">
        <v>320.14</v>
      </c>
    </row>
    <row r="876" spans="1:16" x14ac:dyDescent="0.35">
      <c r="A876" t="s">
        <v>1199</v>
      </c>
      <c r="B876" s="1">
        <v>45199</v>
      </c>
      <c r="C876" s="1">
        <v>45202</v>
      </c>
      <c r="D876" t="s">
        <v>65</v>
      </c>
      <c r="E876" t="s">
        <v>363</v>
      </c>
      <c r="F876" t="s">
        <v>35</v>
      </c>
      <c r="G876" t="s">
        <v>128</v>
      </c>
      <c r="H876" t="s">
        <v>112</v>
      </c>
      <c r="I876" t="s">
        <v>30</v>
      </c>
      <c r="J876" t="s">
        <v>31</v>
      </c>
      <c r="K876" t="s">
        <v>32</v>
      </c>
      <c r="L876">
        <v>7</v>
      </c>
      <c r="M876">
        <v>826.63</v>
      </c>
      <c r="N876">
        <v>0.1</v>
      </c>
      <c r="O876">
        <v>5786.41</v>
      </c>
      <c r="P876">
        <v>1885.91</v>
      </c>
    </row>
    <row r="877" spans="1:16" x14ac:dyDescent="0.35">
      <c r="A877" t="s">
        <v>1200</v>
      </c>
      <c r="B877" s="1">
        <v>45628</v>
      </c>
      <c r="C877" s="1">
        <v>45632</v>
      </c>
      <c r="D877" t="s">
        <v>17</v>
      </c>
      <c r="F877" t="s">
        <v>27</v>
      </c>
      <c r="G877" t="s">
        <v>82</v>
      </c>
      <c r="H877" t="s">
        <v>83</v>
      </c>
      <c r="I877" t="s">
        <v>30</v>
      </c>
      <c r="J877" t="s">
        <v>41</v>
      </c>
      <c r="K877" t="s">
        <v>191</v>
      </c>
      <c r="L877">
        <v>6</v>
      </c>
      <c r="M877">
        <v>323.44</v>
      </c>
      <c r="N877">
        <v>0.3</v>
      </c>
      <c r="O877">
        <v>1940.64</v>
      </c>
      <c r="P877">
        <v>125.94</v>
      </c>
    </row>
    <row r="878" spans="1:16" x14ac:dyDescent="0.35">
      <c r="A878" t="s">
        <v>1201</v>
      </c>
      <c r="B878" s="1">
        <v>45434</v>
      </c>
      <c r="C878" s="1">
        <v>45438</v>
      </c>
      <c r="D878" t="s">
        <v>17</v>
      </c>
      <c r="E878" t="s">
        <v>34</v>
      </c>
      <c r="F878" t="s">
        <v>35</v>
      </c>
      <c r="G878" t="s">
        <v>61</v>
      </c>
      <c r="H878" t="s">
        <v>73</v>
      </c>
      <c r="I878" t="s">
        <v>52</v>
      </c>
      <c r="J878" t="s">
        <v>194</v>
      </c>
      <c r="K878" t="s">
        <v>361</v>
      </c>
      <c r="L878">
        <v>2</v>
      </c>
      <c r="M878">
        <v>527.37</v>
      </c>
      <c r="N878">
        <v>0.3</v>
      </c>
      <c r="O878">
        <v>1054.74</v>
      </c>
      <c r="P878">
        <v>151.66</v>
      </c>
    </row>
    <row r="879" spans="1:16" x14ac:dyDescent="0.35">
      <c r="A879" t="s">
        <v>1202</v>
      </c>
      <c r="B879" s="1">
        <v>45102</v>
      </c>
      <c r="C879" s="1">
        <v>45107</v>
      </c>
      <c r="D879" t="s">
        <v>59</v>
      </c>
      <c r="E879" t="s">
        <v>727</v>
      </c>
      <c r="F879" t="s">
        <v>19</v>
      </c>
      <c r="G879" t="s">
        <v>61</v>
      </c>
      <c r="H879" t="s">
        <v>73</v>
      </c>
      <c r="I879" t="s">
        <v>30</v>
      </c>
      <c r="J879" t="s">
        <v>99</v>
      </c>
      <c r="K879" t="s">
        <v>247</v>
      </c>
      <c r="L879">
        <v>9</v>
      </c>
      <c r="M879">
        <v>343.48</v>
      </c>
      <c r="N879">
        <v>0</v>
      </c>
      <c r="O879">
        <v>3091.32</v>
      </c>
      <c r="P879">
        <v>27.75</v>
      </c>
    </row>
    <row r="880" spans="1:16" x14ac:dyDescent="0.35">
      <c r="A880" t="s">
        <v>1203</v>
      </c>
      <c r="B880" s="1">
        <v>45483</v>
      </c>
      <c r="C880" s="1">
        <v>45487</v>
      </c>
      <c r="D880" t="s">
        <v>44</v>
      </c>
      <c r="E880" t="s">
        <v>218</v>
      </c>
      <c r="F880" t="s">
        <v>19</v>
      </c>
      <c r="G880" t="s">
        <v>211</v>
      </c>
      <c r="H880" t="s">
        <v>29</v>
      </c>
      <c r="I880" t="s">
        <v>52</v>
      </c>
      <c r="J880" t="s">
        <v>160</v>
      </c>
      <c r="K880" t="s">
        <v>234</v>
      </c>
      <c r="L880">
        <v>8</v>
      </c>
      <c r="M880">
        <v>226.21</v>
      </c>
      <c r="N880">
        <v>0</v>
      </c>
      <c r="O880">
        <v>1809.68</v>
      </c>
      <c r="P880">
        <v>-91.23</v>
      </c>
    </row>
    <row r="881" spans="1:16" x14ac:dyDescent="0.35">
      <c r="A881" t="s">
        <v>1204</v>
      </c>
      <c r="B881" s="1">
        <v>45045</v>
      </c>
      <c r="C881" s="1">
        <v>45050</v>
      </c>
      <c r="D881" t="s">
        <v>17</v>
      </c>
      <c r="E881" t="s">
        <v>237</v>
      </c>
      <c r="F881" t="s">
        <v>27</v>
      </c>
      <c r="G881" t="s">
        <v>132</v>
      </c>
      <c r="H881" t="s">
        <v>129</v>
      </c>
      <c r="I881" t="s">
        <v>52</v>
      </c>
      <c r="J881" t="s">
        <v>68</v>
      </c>
      <c r="K881" t="s">
        <v>69</v>
      </c>
      <c r="L881">
        <v>4</v>
      </c>
      <c r="M881">
        <v>676.53</v>
      </c>
      <c r="N881">
        <v>0</v>
      </c>
      <c r="O881">
        <v>2706.12</v>
      </c>
      <c r="P881">
        <v>183.39</v>
      </c>
    </row>
    <row r="882" spans="1:16" x14ac:dyDescent="0.35">
      <c r="A882" t="s">
        <v>1205</v>
      </c>
      <c r="B882" s="1">
        <v>45081</v>
      </c>
      <c r="C882" s="1">
        <v>45083</v>
      </c>
      <c r="D882" t="s">
        <v>17</v>
      </c>
      <c r="E882" t="s">
        <v>239</v>
      </c>
      <c r="F882" t="s">
        <v>35</v>
      </c>
      <c r="G882" t="s">
        <v>20</v>
      </c>
      <c r="H882" t="s">
        <v>36</v>
      </c>
      <c r="I882" t="s">
        <v>22</v>
      </c>
      <c r="J882" t="s">
        <v>115</v>
      </c>
      <c r="K882" t="s">
        <v>116</v>
      </c>
      <c r="L882">
        <v>6</v>
      </c>
      <c r="M882">
        <v>634.72</v>
      </c>
      <c r="N882">
        <v>0</v>
      </c>
      <c r="O882">
        <v>3808.32</v>
      </c>
      <c r="P882">
        <v>6.17</v>
      </c>
    </row>
    <row r="883" spans="1:16" x14ac:dyDescent="0.35">
      <c r="A883" t="s">
        <v>1206</v>
      </c>
      <c r="B883" s="1">
        <v>45375</v>
      </c>
      <c r="C883" s="1">
        <v>45379</v>
      </c>
      <c r="D883" t="s">
        <v>65</v>
      </c>
      <c r="E883" t="s">
        <v>535</v>
      </c>
      <c r="F883" t="s">
        <v>35</v>
      </c>
      <c r="G883" t="s">
        <v>111</v>
      </c>
      <c r="H883" t="s">
        <v>129</v>
      </c>
      <c r="I883" t="s">
        <v>30</v>
      </c>
      <c r="J883" t="s">
        <v>99</v>
      </c>
      <c r="K883" t="s">
        <v>247</v>
      </c>
      <c r="L883">
        <v>5</v>
      </c>
      <c r="M883">
        <v>864.32</v>
      </c>
      <c r="N883">
        <v>0</v>
      </c>
      <c r="O883">
        <v>4321.6000000000004</v>
      </c>
      <c r="P883">
        <v>-4.2</v>
      </c>
    </row>
    <row r="884" spans="1:16" x14ac:dyDescent="0.35">
      <c r="A884" t="s">
        <v>1207</v>
      </c>
      <c r="B884" s="1">
        <v>45000</v>
      </c>
      <c r="C884" s="1">
        <v>45003</v>
      </c>
      <c r="D884" t="s">
        <v>65</v>
      </c>
      <c r="E884" t="s">
        <v>1208</v>
      </c>
      <c r="F884" t="s">
        <v>35</v>
      </c>
      <c r="G884" t="s">
        <v>128</v>
      </c>
      <c r="H884" t="s">
        <v>112</v>
      </c>
      <c r="I884" t="s">
        <v>30</v>
      </c>
      <c r="J884" t="s">
        <v>31</v>
      </c>
      <c r="K884" t="s">
        <v>57</v>
      </c>
      <c r="L884">
        <v>4</v>
      </c>
      <c r="M884">
        <v>292.06</v>
      </c>
      <c r="N884">
        <v>0.15</v>
      </c>
      <c r="O884">
        <v>1168.24</v>
      </c>
      <c r="P884">
        <v>207.6</v>
      </c>
    </row>
    <row r="885" spans="1:16" x14ac:dyDescent="0.35">
      <c r="A885" t="s">
        <v>1209</v>
      </c>
      <c r="B885" s="1">
        <v>45056</v>
      </c>
      <c r="C885" s="1">
        <v>45057</v>
      </c>
      <c r="D885" t="s">
        <v>17</v>
      </c>
      <c r="E885" t="s">
        <v>551</v>
      </c>
      <c r="F885" t="s">
        <v>27</v>
      </c>
      <c r="G885" t="s">
        <v>187</v>
      </c>
      <c r="H885" t="s">
        <v>159</v>
      </c>
      <c r="I885" t="s">
        <v>30</v>
      </c>
      <c r="J885" t="s">
        <v>47</v>
      </c>
      <c r="K885" t="s">
        <v>94</v>
      </c>
      <c r="L885">
        <v>8</v>
      </c>
      <c r="M885">
        <v>395.37</v>
      </c>
      <c r="N885">
        <v>0</v>
      </c>
      <c r="O885">
        <v>3162.96</v>
      </c>
      <c r="P885">
        <v>1053.73</v>
      </c>
    </row>
    <row r="886" spans="1:16" x14ac:dyDescent="0.35">
      <c r="A886" t="s">
        <v>1210</v>
      </c>
      <c r="B886" s="1">
        <v>45233</v>
      </c>
      <c r="C886" s="1">
        <v>45237</v>
      </c>
      <c r="D886" t="s">
        <v>44</v>
      </c>
      <c r="E886" t="s">
        <v>383</v>
      </c>
      <c r="F886" t="s">
        <v>27</v>
      </c>
      <c r="G886" t="s">
        <v>51</v>
      </c>
      <c r="H886" t="s">
        <v>21</v>
      </c>
      <c r="I886" t="s">
        <v>30</v>
      </c>
      <c r="J886" t="s">
        <v>31</v>
      </c>
      <c r="K886" t="s">
        <v>32</v>
      </c>
      <c r="L886">
        <v>1</v>
      </c>
      <c r="M886">
        <v>842.2</v>
      </c>
      <c r="N886">
        <v>0.15</v>
      </c>
      <c r="O886">
        <v>842.2</v>
      </c>
      <c r="P886">
        <v>230.91</v>
      </c>
    </row>
    <row r="887" spans="1:16" x14ac:dyDescent="0.35">
      <c r="A887" t="s">
        <v>1211</v>
      </c>
      <c r="B887" s="1">
        <v>44982</v>
      </c>
      <c r="C887" s="1">
        <v>44988</v>
      </c>
      <c r="D887" t="s">
        <v>65</v>
      </c>
      <c r="F887" t="s">
        <v>27</v>
      </c>
      <c r="G887" t="s">
        <v>181</v>
      </c>
      <c r="H887" t="s">
        <v>46</v>
      </c>
      <c r="I887" t="s">
        <v>22</v>
      </c>
      <c r="J887" t="s">
        <v>115</v>
      </c>
      <c r="K887" t="s">
        <v>147</v>
      </c>
      <c r="L887">
        <v>4</v>
      </c>
      <c r="M887">
        <v>484.98</v>
      </c>
      <c r="N887">
        <v>0</v>
      </c>
      <c r="O887">
        <v>1939.92</v>
      </c>
      <c r="P887">
        <v>118.22</v>
      </c>
    </row>
    <row r="888" spans="1:16" x14ac:dyDescent="0.35">
      <c r="A888" t="s">
        <v>1212</v>
      </c>
      <c r="B888" s="1">
        <v>45546</v>
      </c>
      <c r="C888" s="1">
        <v>45548</v>
      </c>
      <c r="D888" t="s">
        <v>65</v>
      </c>
      <c r="E888" t="s">
        <v>180</v>
      </c>
      <c r="F888" t="s">
        <v>35</v>
      </c>
      <c r="G888" t="s">
        <v>187</v>
      </c>
      <c r="H888" t="s">
        <v>29</v>
      </c>
      <c r="I888" t="s">
        <v>22</v>
      </c>
      <c r="J888" t="s">
        <v>23</v>
      </c>
      <c r="K888" t="s">
        <v>289</v>
      </c>
      <c r="L888">
        <v>11</v>
      </c>
      <c r="M888">
        <v>620.01</v>
      </c>
      <c r="N888">
        <v>0.15</v>
      </c>
      <c r="O888">
        <v>6820.11</v>
      </c>
      <c r="P888">
        <v>1764.92</v>
      </c>
    </row>
    <row r="889" spans="1:16" x14ac:dyDescent="0.35">
      <c r="A889" t="s">
        <v>1213</v>
      </c>
      <c r="B889" s="1">
        <v>45289</v>
      </c>
      <c r="C889" s="1">
        <v>45296</v>
      </c>
      <c r="D889" t="s">
        <v>44</v>
      </c>
      <c r="E889" t="s">
        <v>1214</v>
      </c>
      <c r="F889" t="s">
        <v>27</v>
      </c>
      <c r="G889" t="s">
        <v>111</v>
      </c>
      <c r="H889" t="s">
        <v>129</v>
      </c>
      <c r="I889" t="s">
        <v>22</v>
      </c>
      <c r="J889" t="s">
        <v>115</v>
      </c>
      <c r="K889" t="s">
        <v>133</v>
      </c>
      <c r="L889">
        <v>9</v>
      </c>
      <c r="M889">
        <v>195.4</v>
      </c>
      <c r="N889">
        <v>0.2</v>
      </c>
      <c r="O889">
        <v>1758.6</v>
      </c>
      <c r="P889">
        <v>160.19999999999999</v>
      </c>
    </row>
    <row r="890" spans="1:16" x14ac:dyDescent="0.35">
      <c r="A890" t="s">
        <v>1215</v>
      </c>
      <c r="B890" s="1">
        <v>45656</v>
      </c>
      <c r="C890" s="1">
        <v>45657</v>
      </c>
      <c r="D890" t="s">
        <v>65</v>
      </c>
      <c r="E890" t="s">
        <v>419</v>
      </c>
      <c r="F890" t="s">
        <v>35</v>
      </c>
      <c r="G890" t="s">
        <v>107</v>
      </c>
      <c r="H890" t="s">
        <v>83</v>
      </c>
      <c r="I890" t="s">
        <v>52</v>
      </c>
      <c r="J890" t="s">
        <v>68</v>
      </c>
      <c r="K890" t="s">
        <v>216</v>
      </c>
      <c r="L890">
        <v>1</v>
      </c>
      <c r="M890">
        <v>315.37</v>
      </c>
      <c r="N890">
        <v>0</v>
      </c>
      <c r="O890">
        <v>315.37</v>
      </c>
      <c r="P890">
        <v>8.73</v>
      </c>
    </row>
    <row r="891" spans="1:16" x14ac:dyDescent="0.35">
      <c r="A891" t="s">
        <v>1216</v>
      </c>
      <c r="B891" s="1">
        <v>44961</v>
      </c>
      <c r="C891" s="1">
        <v>44968</v>
      </c>
      <c r="D891" t="s">
        <v>65</v>
      </c>
      <c r="E891" t="s">
        <v>381</v>
      </c>
      <c r="F891" t="s">
        <v>35</v>
      </c>
      <c r="G891" t="s">
        <v>181</v>
      </c>
      <c r="H891" t="s">
        <v>123</v>
      </c>
      <c r="I891" t="s">
        <v>52</v>
      </c>
      <c r="J891" t="s">
        <v>194</v>
      </c>
      <c r="K891" t="s">
        <v>195</v>
      </c>
      <c r="L891">
        <v>12</v>
      </c>
      <c r="M891">
        <v>140.16999999999999</v>
      </c>
      <c r="N891">
        <v>0</v>
      </c>
      <c r="O891">
        <v>1682.04</v>
      </c>
      <c r="P891">
        <v>173.03</v>
      </c>
    </row>
    <row r="892" spans="1:16" x14ac:dyDescent="0.35">
      <c r="A892" t="s">
        <v>1217</v>
      </c>
      <c r="B892" s="1">
        <v>44978</v>
      </c>
      <c r="C892" s="1">
        <v>44981</v>
      </c>
      <c r="D892" t="s">
        <v>44</v>
      </c>
      <c r="E892" t="s">
        <v>180</v>
      </c>
      <c r="F892" t="s">
        <v>27</v>
      </c>
      <c r="G892" t="s">
        <v>132</v>
      </c>
      <c r="H892" t="s">
        <v>129</v>
      </c>
      <c r="I892" t="s">
        <v>22</v>
      </c>
      <c r="J892" t="s">
        <v>74</v>
      </c>
      <c r="K892" t="s">
        <v>165</v>
      </c>
      <c r="L892">
        <v>5</v>
      </c>
      <c r="M892">
        <v>656.12</v>
      </c>
      <c r="N892">
        <v>0.3</v>
      </c>
      <c r="O892">
        <v>3280.6</v>
      </c>
      <c r="P892">
        <v>169.37</v>
      </c>
    </row>
    <row r="893" spans="1:16" x14ac:dyDescent="0.35">
      <c r="A893" t="s">
        <v>1218</v>
      </c>
      <c r="B893" s="1">
        <v>45597</v>
      </c>
      <c r="C893" s="1">
        <v>45601</v>
      </c>
      <c r="D893" t="s">
        <v>65</v>
      </c>
      <c r="E893" t="s">
        <v>163</v>
      </c>
      <c r="F893" t="s">
        <v>27</v>
      </c>
      <c r="G893" t="s">
        <v>20</v>
      </c>
      <c r="H893" t="s">
        <v>21</v>
      </c>
      <c r="I893" t="s">
        <v>22</v>
      </c>
      <c r="J893" t="s">
        <v>115</v>
      </c>
      <c r="K893" t="s">
        <v>133</v>
      </c>
      <c r="L893">
        <v>9</v>
      </c>
      <c r="M893">
        <v>755.47</v>
      </c>
      <c r="N893">
        <v>0</v>
      </c>
      <c r="O893">
        <v>6799.23</v>
      </c>
      <c r="P893">
        <v>-900.37</v>
      </c>
    </row>
    <row r="894" spans="1:16" x14ac:dyDescent="0.35">
      <c r="A894" t="s">
        <v>1219</v>
      </c>
      <c r="B894" s="1">
        <v>45379</v>
      </c>
      <c r="C894" s="1">
        <v>45386</v>
      </c>
      <c r="D894" t="s">
        <v>17</v>
      </c>
      <c r="E894" t="s">
        <v>239</v>
      </c>
      <c r="F894" t="s">
        <v>19</v>
      </c>
      <c r="G894" t="s">
        <v>107</v>
      </c>
      <c r="H894" t="s">
        <v>46</v>
      </c>
      <c r="I894" t="s">
        <v>22</v>
      </c>
      <c r="J894" t="s">
        <v>23</v>
      </c>
      <c r="K894" t="s">
        <v>24</v>
      </c>
      <c r="L894">
        <v>2</v>
      </c>
      <c r="M894">
        <v>30.84</v>
      </c>
      <c r="N894">
        <v>0.2</v>
      </c>
      <c r="O894">
        <v>61.68</v>
      </c>
      <c r="P894">
        <v>9.5299999999999994</v>
      </c>
    </row>
    <row r="895" spans="1:16" x14ac:dyDescent="0.35">
      <c r="A895" t="s">
        <v>1220</v>
      </c>
      <c r="B895" s="1">
        <v>45297</v>
      </c>
      <c r="C895" s="1">
        <v>45304</v>
      </c>
      <c r="D895" t="s">
        <v>65</v>
      </c>
      <c r="E895" t="s">
        <v>784</v>
      </c>
      <c r="F895" t="s">
        <v>27</v>
      </c>
      <c r="G895" t="s">
        <v>132</v>
      </c>
      <c r="H895" t="s">
        <v>112</v>
      </c>
      <c r="I895" t="s">
        <v>30</v>
      </c>
      <c r="J895" t="s">
        <v>99</v>
      </c>
      <c r="K895" t="s">
        <v>100</v>
      </c>
      <c r="L895">
        <v>5</v>
      </c>
      <c r="M895">
        <v>573.94000000000005</v>
      </c>
      <c r="N895">
        <v>0</v>
      </c>
      <c r="O895">
        <v>2869.7</v>
      </c>
      <c r="P895">
        <v>-227.08</v>
      </c>
    </row>
    <row r="896" spans="1:16" x14ac:dyDescent="0.35">
      <c r="A896" t="s">
        <v>1221</v>
      </c>
      <c r="B896" s="1">
        <v>45585</v>
      </c>
      <c r="C896" s="1">
        <v>45587</v>
      </c>
      <c r="D896" t="s">
        <v>44</v>
      </c>
      <c r="E896" t="s">
        <v>562</v>
      </c>
      <c r="F896" t="s">
        <v>27</v>
      </c>
      <c r="G896" t="s">
        <v>51</v>
      </c>
      <c r="H896" t="s">
        <v>21</v>
      </c>
      <c r="I896" t="s">
        <v>52</v>
      </c>
      <c r="J896" t="s">
        <v>194</v>
      </c>
      <c r="K896" t="s">
        <v>306</v>
      </c>
      <c r="L896">
        <v>7</v>
      </c>
      <c r="M896">
        <v>342.47</v>
      </c>
      <c r="N896">
        <v>0.1</v>
      </c>
      <c r="O896">
        <v>2397.29</v>
      </c>
      <c r="P896">
        <v>-331.02</v>
      </c>
    </row>
    <row r="897" spans="1:16" x14ac:dyDescent="0.35">
      <c r="A897" t="s">
        <v>1222</v>
      </c>
      <c r="B897" s="1">
        <v>45473</v>
      </c>
      <c r="C897" s="1">
        <v>45475</v>
      </c>
      <c r="D897" t="s">
        <v>65</v>
      </c>
      <c r="E897" t="s">
        <v>455</v>
      </c>
      <c r="F897" t="s">
        <v>27</v>
      </c>
      <c r="G897" t="s">
        <v>20</v>
      </c>
      <c r="H897" t="s">
        <v>21</v>
      </c>
      <c r="I897" t="s">
        <v>52</v>
      </c>
      <c r="J897" t="s">
        <v>194</v>
      </c>
      <c r="K897" t="s">
        <v>306</v>
      </c>
      <c r="L897">
        <v>4</v>
      </c>
      <c r="M897">
        <v>483.46</v>
      </c>
      <c r="N897">
        <v>0</v>
      </c>
      <c r="O897">
        <v>1933.84</v>
      </c>
      <c r="P897">
        <v>337.11</v>
      </c>
    </row>
    <row r="898" spans="1:16" x14ac:dyDescent="0.35">
      <c r="A898" t="s">
        <v>1223</v>
      </c>
      <c r="B898" s="1">
        <v>45026</v>
      </c>
      <c r="C898" s="1">
        <v>45027</v>
      </c>
      <c r="D898" t="s">
        <v>65</v>
      </c>
      <c r="E898" t="s">
        <v>255</v>
      </c>
      <c r="F898" t="s">
        <v>19</v>
      </c>
      <c r="G898" t="s">
        <v>187</v>
      </c>
      <c r="H898" t="s">
        <v>159</v>
      </c>
      <c r="I898" t="s">
        <v>30</v>
      </c>
      <c r="J898" t="s">
        <v>99</v>
      </c>
      <c r="K898" t="s">
        <v>247</v>
      </c>
      <c r="L898">
        <v>7</v>
      </c>
      <c r="M898">
        <v>672.77</v>
      </c>
      <c r="N898">
        <v>0.3</v>
      </c>
      <c r="O898">
        <v>4709.3900000000003</v>
      </c>
      <c r="P898">
        <v>797.36</v>
      </c>
    </row>
    <row r="899" spans="1:16" x14ac:dyDescent="0.35">
      <c r="A899" t="s">
        <v>1224</v>
      </c>
      <c r="B899" s="1">
        <v>45237</v>
      </c>
      <c r="C899" s="1">
        <v>45244</v>
      </c>
      <c r="D899" t="s">
        <v>17</v>
      </c>
      <c r="E899" t="s">
        <v>229</v>
      </c>
      <c r="F899" t="s">
        <v>27</v>
      </c>
      <c r="G899" t="s">
        <v>28</v>
      </c>
      <c r="H899" t="s">
        <v>159</v>
      </c>
      <c r="I899" t="s">
        <v>30</v>
      </c>
      <c r="J899" t="s">
        <v>99</v>
      </c>
      <c r="K899" t="s">
        <v>154</v>
      </c>
      <c r="L899">
        <v>8</v>
      </c>
      <c r="M899">
        <v>51.67</v>
      </c>
      <c r="N899">
        <v>0.3</v>
      </c>
      <c r="O899">
        <v>413.36</v>
      </c>
      <c r="P899">
        <v>15.96</v>
      </c>
    </row>
    <row r="900" spans="1:16" x14ac:dyDescent="0.35">
      <c r="A900" t="s">
        <v>1225</v>
      </c>
      <c r="B900" s="1">
        <v>45639</v>
      </c>
      <c r="C900" s="1">
        <v>45641</v>
      </c>
      <c r="D900" t="s">
        <v>65</v>
      </c>
      <c r="E900" t="s">
        <v>400</v>
      </c>
      <c r="F900" t="s">
        <v>27</v>
      </c>
      <c r="G900" t="s">
        <v>51</v>
      </c>
      <c r="H900" t="s">
        <v>36</v>
      </c>
      <c r="I900" t="s">
        <v>22</v>
      </c>
      <c r="J900" t="s">
        <v>74</v>
      </c>
      <c r="K900" t="s">
        <v>253</v>
      </c>
      <c r="L900">
        <v>7</v>
      </c>
      <c r="M900">
        <v>624.54</v>
      </c>
      <c r="N900">
        <v>0.2</v>
      </c>
      <c r="O900">
        <v>4371.78</v>
      </c>
      <c r="P900">
        <v>1027.1099999999999</v>
      </c>
    </row>
    <row r="901" spans="1:16" x14ac:dyDescent="0.35">
      <c r="A901" t="s">
        <v>1226</v>
      </c>
      <c r="B901" s="1">
        <v>45048</v>
      </c>
      <c r="C901" s="1">
        <v>45053</v>
      </c>
      <c r="D901" t="s">
        <v>44</v>
      </c>
      <c r="E901" t="s">
        <v>375</v>
      </c>
      <c r="F901" t="s">
        <v>27</v>
      </c>
      <c r="G901" t="s">
        <v>45</v>
      </c>
      <c r="H901" t="s">
        <v>123</v>
      </c>
      <c r="I901" t="s">
        <v>22</v>
      </c>
      <c r="J901" t="s">
        <v>74</v>
      </c>
      <c r="K901" t="s">
        <v>253</v>
      </c>
      <c r="L901">
        <v>9</v>
      </c>
      <c r="M901">
        <v>99.99</v>
      </c>
      <c r="N901">
        <v>0.3</v>
      </c>
      <c r="O901">
        <v>899.91</v>
      </c>
      <c r="P901">
        <v>173.63</v>
      </c>
    </row>
    <row r="902" spans="1:16" x14ac:dyDescent="0.35">
      <c r="A902" t="s">
        <v>1227</v>
      </c>
      <c r="B902" s="1">
        <v>45189</v>
      </c>
      <c r="C902" s="1">
        <v>45196</v>
      </c>
      <c r="D902" t="s">
        <v>17</v>
      </c>
      <c r="E902" t="s">
        <v>158</v>
      </c>
      <c r="F902" t="s">
        <v>35</v>
      </c>
      <c r="G902" t="s">
        <v>20</v>
      </c>
      <c r="H902" t="s">
        <v>21</v>
      </c>
      <c r="I902" t="s">
        <v>30</v>
      </c>
      <c r="J902" t="s">
        <v>47</v>
      </c>
      <c r="K902" t="s">
        <v>94</v>
      </c>
      <c r="L902">
        <v>5</v>
      </c>
      <c r="M902">
        <v>520.34</v>
      </c>
      <c r="N902">
        <v>0.1</v>
      </c>
      <c r="O902">
        <v>2601.6999999999998</v>
      </c>
      <c r="P902">
        <v>125.73</v>
      </c>
    </row>
    <row r="903" spans="1:16" x14ac:dyDescent="0.35">
      <c r="A903" t="s">
        <v>527</v>
      </c>
      <c r="B903" s="1">
        <v>45633</v>
      </c>
      <c r="C903" s="1">
        <v>45640</v>
      </c>
      <c r="D903" t="s">
        <v>65</v>
      </c>
      <c r="E903" t="s">
        <v>207</v>
      </c>
      <c r="F903" t="s">
        <v>27</v>
      </c>
      <c r="G903" t="s">
        <v>67</v>
      </c>
      <c r="H903" t="s">
        <v>21</v>
      </c>
      <c r="I903" t="s">
        <v>30</v>
      </c>
      <c r="J903" t="s">
        <v>41</v>
      </c>
      <c r="K903" t="s">
        <v>105</v>
      </c>
      <c r="L903">
        <v>3</v>
      </c>
      <c r="M903">
        <v>242.16</v>
      </c>
      <c r="N903">
        <v>0.15</v>
      </c>
      <c r="O903">
        <v>726.48</v>
      </c>
      <c r="P903">
        <v>-18.21</v>
      </c>
    </row>
    <row r="904" spans="1:16" x14ac:dyDescent="0.35">
      <c r="A904" t="s">
        <v>1228</v>
      </c>
      <c r="B904" s="1">
        <v>44936</v>
      </c>
      <c r="C904" s="1">
        <v>44938</v>
      </c>
      <c r="D904" t="s">
        <v>17</v>
      </c>
      <c r="E904" t="s">
        <v>110</v>
      </c>
      <c r="F904" t="s">
        <v>35</v>
      </c>
      <c r="G904" t="s">
        <v>132</v>
      </c>
      <c r="H904" t="s">
        <v>112</v>
      </c>
      <c r="I904" t="s">
        <v>22</v>
      </c>
      <c r="J904" t="s">
        <v>115</v>
      </c>
      <c r="K904" t="s">
        <v>133</v>
      </c>
      <c r="L904">
        <v>9</v>
      </c>
      <c r="M904">
        <v>773.36</v>
      </c>
      <c r="N904">
        <v>0</v>
      </c>
      <c r="O904">
        <v>6960.24</v>
      </c>
      <c r="P904">
        <v>342.45</v>
      </c>
    </row>
    <row r="905" spans="1:16" x14ac:dyDescent="0.35">
      <c r="A905" t="s">
        <v>1229</v>
      </c>
      <c r="B905" s="1">
        <v>45219</v>
      </c>
      <c r="C905" s="1">
        <v>45224</v>
      </c>
      <c r="D905" t="s">
        <v>59</v>
      </c>
      <c r="E905" t="s">
        <v>476</v>
      </c>
      <c r="F905" t="s">
        <v>35</v>
      </c>
      <c r="H905" t="s">
        <v>129</v>
      </c>
      <c r="I905" t="s">
        <v>52</v>
      </c>
      <c r="J905" t="s">
        <v>160</v>
      </c>
      <c r="K905" t="s">
        <v>634</v>
      </c>
      <c r="L905">
        <v>3</v>
      </c>
      <c r="M905">
        <v>426.29</v>
      </c>
      <c r="N905">
        <v>0.1</v>
      </c>
      <c r="O905">
        <v>1278.8699999999999</v>
      </c>
      <c r="P905">
        <v>131.27000000000001</v>
      </c>
    </row>
    <row r="906" spans="1:16" x14ac:dyDescent="0.35">
      <c r="A906" t="s">
        <v>1230</v>
      </c>
      <c r="B906" s="1">
        <v>44983</v>
      </c>
      <c r="C906" s="1">
        <v>44989</v>
      </c>
      <c r="D906" t="s">
        <v>65</v>
      </c>
      <c r="E906" t="s">
        <v>233</v>
      </c>
      <c r="F906" t="s">
        <v>19</v>
      </c>
      <c r="G906" t="s">
        <v>82</v>
      </c>
      <c r="H906" t="s">
        <v>83</v>
      </c>
      <c r="I906" t="s">
        <v>52</v>
      </c>
      <c r="J906" t="s">
        <v>160</v>
      </c>
      <c r="K906" t="s">
        <v>634</v>
      </c>
      <c r="L906">
        <v>3</v>
      </c>
      <c r="M906">
        <v>501.26</v>
      </c>
      <c r="N906">
        <v>0.1</v>
      </c>
      <c r="O906">
        <v>1503.78</v>
      </c>
      <c r="P906">
        <v>271.23</v>
      </c>
    </row>
    <row r="907" spans="1:16" x14ac:dyDescent="0.35">
      <c r="A907" t="s">
        <v>1231</v>
      </c>
      <c r="B907" s="1">
        <v>45055</v>
      </c>
      <c r="C907" s="1">
        <v>45062</v>
      </c>
      <c r="D907" t="s">
        <v>44</v>
      </c>
      <c r="E907" t="s">
        <v>727</v>
      </c>
      <c r="F907" t="s">
        <v>27</v>
      </c>
      <c r="G907" t="s">
        <v>72</v>
      </c>
      <c r="H907" t="s">
        <v>73</v>
      </c>
      <c r="I907" t="s">
        <v>22</v>
      </c>
      <c r="J907" t="s">
        <v>23</v>
      </c>
      <c r="K907" t="s">
        <v>289</v>
      </c>
      <c r="L907">
        <v>6</v>
      </c>
      <c r="M907">
        <v>698.06</v>
      </c>
      <c r="N907">
        <v>0.3</v>
      </c>
      <c r="O907">
        <v>4188.3599999999997</v>
      </c>
      <c r="P907">
        <v>1257.6199999999999</v>
      </c>
    </row>
    <row r="908" spans="1:16" x14ac:dyDescent="0.35">
      <c r="A908" t="s">
        <v>1232</v>
      </c>
      <c r="B908" s="1">
        <v>45071</v>
      </c>
      <c r="C908" s="1">
        <v>45072</v>
      </c>
      <c r="D908" t="s">
        <v>65</v>
      </c>
      <c r="E908" t="s">
        <v>410</v>
      </c>
      <c r="F908" t="s">
        <v>27</v>
      </c>
      <c r="G908" t="s">
        <v>28</v>
      </c>
      <c r="H908" t="s">
        <v>159</v>
      </c>
      <c r="I908" t="s">
        <v>22</v>
      </c>
      <c r="J908" t="s">
        <v>37</v>
      </c>
      <c r="K908" t="s">
        <v>38</v>
      </c>
      <c r="L908">
        <v>12</v>
      </c>
      <c r="M908">
        <v>130.4</v>
      </c>
      <c r="N908">
        <v>0.15</v>
      </c>
      <c r="O908">
        <v>1564.8</v>
      </c>
      <c r="P908">
        <v>311.83999999999997</v>
      </c>
    </row>
    <row r="909" spans="1:16" x14ac:dyDescent="0.35">
      <c r="A909" t="s">
        <v>1233</v>
      </c>
      <c r="B909" s="1">
        <v>44972</v>
      </c>
      <c r="C909" s="1">
        <v>44978</v>
      </c>
      <c r="D909" t="s">
        <v>65</v>
      </c>
      <c r="E909" t="s">
        <v>251</v>
      </c>
      <c r="F909" t="s">
        <v>19</v>
      </c>
      <c r="G909" t="s">
        <v>111</v>
      </c>
      <c r="H909" t="s">
        <v>112</v>
      </c>
      <c r="I909" t="s">
        <v>52</v>
      </c>
      <c r="J909" t="s">
        <v>78</v>
      </c>
      <c r="K909" t="s">
        <v>198</v>
      </c>
      <c r="L909">
        <v>6</v>
      </c>
      <c r="M909">
        <v>598.73</v>
      </c>
      <c r="N909">
        <v>0</v>
      </c>
      <c r="O909">
        <v>3592.38</v>
      </c>
      <c r="P909">
        <v>753.96</v>
      </c>
    </row>
    <row r="910" spans="1:16" x14ac:dyDescent="0.35">
      <c r="A910" t="s">
        <v>1234</v>
      </c>
      <c r="B910" s="1">
        <v>45406</v>
      </c>
      <c r="C910" s="1">
        <v>45412</v>
      </c>
      <c r="D910" t="s">
        <v>59</v>
      </c>
      <c r="E910" t="s">
        <v>476</v>
      </c>
      <c r="F910" t="s">
        <v>35</v>
      </c>
      <c r="G910" t="s">
        <v>61</v>
      </c>
      <c r="H910" t="s">
        <v>73</v>
      </c>
      <c r="I910" t="s">
        <v>30</v>
      </c>
      <c r="J910" t="s">
        <v>99</v>
      </c>
      <c r="K910" t="s">
        <v>100</v>
      </c>
      <c r="L910">
        <v>4</v>
      </c>
      <c r="M910">
        <v>364.36</v>
      </c>
      <c r="N910">
        <v>0</v>
      </c>
      <c r="O910">
        <v>1457.44</v>
      </c>
      <c r="P910">
        <v>12.6</v>
      </c>
    </row>
    <row r="911" spans="1:16" x14ac:dyDescent="0.35">
      <c r="A911" t="s">
        <v>1235</v>
      </c>
      <c r="B911" s="1">
        <v>45522</v>
      </c>
      <c r="C911" s="1">
        <v>45526</v>
      </c>
      <c r="D911" t="s">
        <v>17</v>
      </c>
      <c r="E911" t="s">
        <v>114</v>
      </c>
      <c r="F911" t="s">
        <v>19</v>
      </c>
      <c r="G911" t="s">
        <v>111</v>
      </c>
      <c r="H911" t="s">
        <v>112</v>
      </c>
      <c r="I911" t="s">
        <v>52</v>
      </c>
      <c r="J911" t="s">
        <v>160</v>
      </c>
      <c r="K911" t="s">
        <v>234</v>
      </c>
      <c r="L911">
        <v>8</v>
      </c>
      <c r="M911">
        <v>79.63</v>
      </c>
      <c r="N911">
        <v>0</v>
      </c>
      <c r="O911">
        <v>637.04</v>
      </c>
      <c r="P911">
        <v>-63.74</v>
      </c>
    </row>
    <row r="912" spans="1:16" x14ac:dyDescent="0.35">
      <c r="A912" t="s">
        <v>1236</v>
      </c>
      <c r="B912" s="1">
        <v>45183</v>
      </c>
      <c r="C912" s="1">
        <v>45186</v>
      </c>
      <c r="D912" t="s">
        <v>59</v>
      </c>
      <c r="E912" t="s">
        <v>149</v>
      </c>
      <c r="F912" t="s">
        <v>27</v>
      </c>
      <c r="G912" t="s">
        <v>132</v>
      </c>
      <c r="I912" t="s">
        <v>52</v>
      </c>
      <c r="J912" t="s">
        <v>53</v>
      </c>
      <c r="K912" t="s">
        <v>91</v>
      </c>
      <c r="L912">
        <v>5</v>
      </c>
      <c r="M912">
        <v>575.20000000000005</v>
      </c>
      <c r="N912">
        <v>0</v>
      </c>
      <c r="O912">
        <v>2876</v>
      </c>
      <c r="P912">
        <v>953.45</v>
      </c>
    </row>
    <row r="913" spans="1:16" x14ac:dyDescent="0.35">
      <c r="A913" t="s">
        <v>1237</v>
      </c>
      <c r="B913" s="1">
        <v>45417</v>
      </c>
      <c r="C913" s="1">
        <v>45418</v>
      </c>
      <c r="D913" t="s">
        <v>59</v>
      </c>
      <c r="E913" t="s">
        <v>492</v>
      </c>
      <c r="F913" t="s">
        <v>19</v>
      </c>
      <c r="G913" t="s">
        <v>107</v>
      </c>
      <c r="H913" t="s">
        <v>123</v>
      </c>
      <c r="I913" t="s">
        <v>52</v>
      </c>
      <c r="J913" t="s">
        <v>194</v>
      </c>
      <c r="K913" t="s">
        <v>361</v>
      </c>
      <c r="L913">
        <v>7</v>
      </c>
      <c r="M913">
        <v>555.71</v>
      </c>
      <c r="N913">
        <v>0.1</v>
      </c>
      <c r="O913">
        <v>3889.97</v>
      </c>
      <c r="P913">
        <v>852.58</v>
      </c>
    </row>
    <row r="914" spans="1:16" x14ac:dyDescent="0.35">
      <c r="A914" t="s">
        <v>1238</v>
      </c>
      <c r="B914" s="1">
        <v>44995</v>
      </c>
      <c r="C914" s="1">
        <v>44998</v>
      </c>
      <c r="D914" t="s">
        <v>17</v>
      </c>
      <c r="E914" t="s">
        <v>312</v>
      </c>
      <c r="F914" t="s">
        <v>19</v>
      </c>
      <c r="G914" t="s">
        <v>103</v>
      </c>
      <c r="H914" t="s">
        <v>73</v>
      </c>
      <c r="I914" t="s">
        <v>52</v>
      </c>
      <c r="J914" t="s">
        <v>53</v>
      </c>
      <c r="K914" t="s">
        <v>54</v>
      </c>
      <c r="L914">
        <v>12</v>
      </c>
      <c r="M914">
        <v>168.5</v>
      </c>
      <c r="N914">
        <v>0.2</v>
      </c>
      <c r="O914">
        <v>2022</v>
      </c>
      <c r="P914">
        <v>563.66</v>
      </c>
    </row>
    <row r="915" spans="1:16" x14ac:dyDescent="0.35">
      <c r="A915" t="s">
        <v>1239</v>
      </c>
      <c r="B915" s="1">
        <v>45436</v>
      </c>
      <c r="C915" s="1">
        <v>45439</v>
      </c>
      <c r="D915" t="s">
        <v>59</v>
      </c>
      <c r="E915" t="s">
        <v>1185</v>
      </c>
      <c r="F915" t="s">
        <v>19</v>
      </c>
      <c r="G915" t="s">
        <v>51</v>
      </c>
      <c r="H915" t="s">
        <v>36</v>
      </c>
      <c r="I915" t="s">
        <v>52</v>
      </c>
      <c r="J915" t="s">
        <v>160</v>
      </c>
      <c r="K915" t="s">
        <v>161</v>
      </c>
      <c r="L915">
        <v>6</v>
      </c>
      <c r="M915">
        <v>655.26</v>
      </c>
      <c r="N915">
        <v>0</v>
      </c>
      <c r="O915">
        <v>3931.56</v>
      </c>
      <c r="P915">
        <v>759.42</v>
      </c>
    </row>
    <row r="916" spans="1:16" x14ac:dyDescent="0.35">
      <c r="A916" t="s">
        <v>1240</v>
      </c>
      <c r="B916" s="1">
        <v>45122</v>
      </c>
      <c r="C916" s="1">
        <v>45123</v>
      </c>
      <c r="D916" t="s">
        <v>17</v>
      </c>
      <c r="E916" t="s">
        <v>60</v>
      </c>
      <c r="F916" t="s">
        <v>19</v>
      </c>
      <c r="G916" t="s">
        <v>51</v>
      </c>
      <c r="H916" t="s">
        <v>21</v>
      </c>
      <c r="I916" t="s">
        <v>30</v>
      </c>
      <c r="J916" t="s">
        <v>99</v>
      </c>
      <c r="K916" t="s">
        <v>247</v>
      </c>
      <c r="L916">
        <v>6</v>
      </c>
      <c r="M916">
        <v>276.35000000000002</v>
      </c>
      <c r="N916">
        <v>0</v>
      </c>
      <c r="O916">
        <v>1658.1</v>
      </c>
      <c r="P916">
        <v>-73.12</v>
      </c>
    </row>
    <row r="917" spans="1:16" x14ac:dyDescent="0.35">
      <c r="A917" t="s">
        <v>1241</v>
      </c>
      <c r="B917" s="1">
        <v>45341</v>
      </c>
      <c r="C917" s="1">
        <v>45345</v>
      </c>
      <c r="D917" t="s">
        <v>17</v>
      </c>
      <c r="E917" t="s">
        <v>803</v>
      </c>
      <c r="F917" t="s">
        <v>19</v>
      </c>
      <c r="G917" t="s">
        <v>187</v>
      </c>
      <c r="H917" t="s">
        <v>29</v>
      </c>
      <c r="I917" t="s">
        <v>30</v>
      </c>
      <c r="J917" t="s">
        <v>41</v>
      </c>
      <c r="K917" t="s">
        <v>124</v>
      </c>
      <c r="L917">
        <v>5</v>
      </c>
      <c r="M917">
        <v>872.8</v>
      </c>
      <c r="N917">
        <v>0.3</v>
      </c>
      <c r="O917">
        <v>4364</v>
      </c>
      <c r="P917">
        <v>1485.27</v>
      </c>
    </row>
    <row r="918" spans="1:16" x14ac:dyDescent="0.35">
      <c r="A918" t="s">
        <v>1242</v>
      </c>
      <c r="B918" s="1">
        <v>45568</v>
      </c>
      <c r="C918" s="1">
        <v>45570</v>
      </c>
      <c r="D918" t="s">
        <v>59</v>
      </c>
      <c r="E918" t="s">
        <v>239</v>
      </c>
      <c r="F918" t="s">
        <v>35</v>
      </c>
      <c r="G918" t="s">
        <v>107</v>
      </c>
      <c r="H918" t="s">
        <v>123</v>
      </c>
      <c r="I918" t="s">
        <v>30</v>
      </c>
      <c r="J918" t="s">
        <v>47</v>
      </c>
      <c r="K918" t="s">
        <v>94</v>
      </c>
      <c r="L918">
        <v>8</v>
      </c>
      <c r="M918">
        <v>491.43</v>
      </c>
      <c r="N918">
        <v>0</v>
      </c>
      <c r="O918">
        <v>3931.44</v>
      </c>
      <c r="P918">
        <v>605.41</v>
      </c>
    </row>
    <row r="919" spans="1:16" x14ac:dyDescent="0.35">
      <c r="A919" t="s">
        <v>1243</v>
      </c>
      <c r="B919" s="1">
        <v>44934</v>
      </c>
      <c r="C919" s="1">
        <v>44938</v>
      </c>
      <c r="D919" t="s">
        <v>65</v>
      </c>
      <c r="E919" t="s">
        <v>750</v>
      </c>
      <c r="F919" t="s">
        <v>19</v>
      </c>
      <c r="G919" t="s">
        <v>86</v>
      </c>
      <c r="H919" t="s">
        <v>29</v>
      </c>
      <c r="I919" t="s">
        <v>52</v>
      </c>
      <c r="J919" t="s">
        <v>160</v>
      </c>
      <c r="K919" t="s">
        <v>234</v>
      </c>
      <c r="L919">
        <v>5</v>
      </c>
      <c r="M919">
        <v>238.87</v>
      </c>
      <c r="N919">
        <v>0.15</v>
      </c>
      <c r="O919">
        <v>1194.3499999999999</v>
      </c>
      <c r="P919">
        <v>73.790000000000006</v>
      </c>
    </row>
    <row r="920" spans="1:16" x14ac:dyDescent="0.35">
      <c r="A920" t="s">
        <v>1244</v>
      </c>
      <c r="B920" s="1">
        <v>45389</v>
      </c>
      <c r="C920" s="1">
        <v>45391</v>
      </c>
      <c r="D920" t="s">
        <v>17</v>
      </c>
      <c r="E920" t="s">
        <v>257</v>
      </c>
      <c r="F920" t="s">
        <v>19</v>
      </c>
      <c r="H920" t="s">
        <v>129</v>
      </c>
      <c r="I920" t="s">
        <v>52</v>
      </c>
      <c r="J920" t="s">
        <v>78</v>
      </c>
      <c r="K920" t="s">
        <v>96</v>
      </c>
      <c r="L920">
        <v>7</v>
      </c>
      <c r="M920">
        <v>284.70999999999998</v>
      </c>
      <c r="N920">
        <v>0</v>
      </c>
      <c r="O920">
        <v>1992.97</v>
      </c>
      <c r="P920">
        <v>74.040000000000006</v>
      </c>
    </row>
    <row r="921" spans="1:16" x14ac:dyDescent="0.35">
      <c r="A921" t="s">
        <v>1245</v>
      </c>
      <c r="B921" s="1">
        <v>45125</v>
      </c>
      <c r="C921" s="1">
        <v>45130</v>
      </c>
      <c r="D921" t="s">
        <v>17</v>
      </c>
      <c r="E921" t="s">
        <v>299</v>
      </c>
      <c r="F921" t="s">
        <v>27</v>
      </c>
      <c r="G921" t="s">
        <v>86</v>
      </c>
      <c r="H921" t="s">
        <v>29</v>
      </c>
      <c r="I921" t="s">
        <v>52</v>
      </c>
      <c r="J921" t="s">
        <v>78</v>
      </c>
      <c r="K921" t="s">
        <v>96</v>
      </c>
      <c r="L921">
        <v>3</v>
      </c>
      <c r="M921">
        <v>222.62</v>
      </c>
      <c r="N921">
        <v>0.3</v>
      </c>
      <c r="O921">
        <v>667.86</v>
      </c>
      <c r="P921">
        <v>-85.46</v>
      </c>
    </row>
    <row r="922" spans="1:16" x14ac:dyDescent="0.35">
      <c r="A922" t="s">
        <v>1246</v>
      </c>
      <c r="B922" s="1">
        <v>45013</v>
      </c>
      <c r="C922" s="1">
        <v>45014</v>
      </c>
      <c r="D922" t="s">
        <v>44</v>
      </c>
      <c r="E922" t="s">
        <v>227</v>
      </c>
      <c r="F922" t="s">
        <v>19</v>
      </c>
      <c r="G922" t="s">
        <v>67</v>
      </c>
      <c r="H922" t="s">
        <v>21</v>
      </c>
      <c r="I922" t="s">
        <v>52</v>
      </c>
      <c r="J922" t="s">
        <v>53</v>
      </c>
      <c r="K922" t="s">
        <v>54</v>
      </c>
      <c r="L922">
        <v>8</v>
      </c>
      <c r="M922">
        <v>623.08000000000004</v>
      </c>
      <c r="N922">
        <v>0.3</v>
      </c>
      <c r="O922">
        <v>4984.6400000000003</v>
      </c>
      <c r="P922">
        <v>-596</v>
      </c>
    </row>
    <row r="923" spans="1:16" x14ac:dyDescent="0.35">
      <c r="A923" t="s">
        <v>1247</v>
      </c>
      <c r="B923" s="1">
        <v>45598</v>
      </c>
      <c r="C923" s="1">
        <v>45605</v>
      </c>
      <c r="D923" t="s">
        <v>44</v>
      </c>
      <c r="E923" t="s">
        <v>340</v>
      </c>
      <c r="F923" t="s">
        <v>35</v>
      </c>
      <c r="G923" t="s">
        <v>72</v>
      </c>
      <c r="H923" t="s">
        <v>73</v>
      </c>
      <c r="I923" t="s">
        <v>22</v>
      </c>
      <c r="J923" t="s">
        <v>37</v>
      </c>
      <c r="K923" t="s">
        <v>38</v>
      </c>
      <c r="L923">
        <v>7</v>
      </c>
      <c r="M923">
        <v>137.26</v>
      </c>
      <c r="N923">
        <v>0.2</v>
      </c>
      <c r="O923">
        <v>960.82</v>
      </c>
      <c r="P923">
        <v>-27.77</v>
      </c>
    </row>
    <row r="924" spans="1:16" x14ac:dyDescent="0.35">
      <c r="A924" t="s">
        <v>1248</v>
      </c>
      <c r="B924" s="1">
        <v>45465</v>
      </c>
      <c r="C924" s="1">
        <v>45470</v>
      </c>
      <c r="D924" t="s">
        <v>65</v>
      </c>
      <c r="F924" t="s">
        <v>35</v>
      </c>
      <c r="G924" t="s">
        <v>103</v>
      </c>
      <c r="H924" t="s">
        <v>62</v>
      </c>
      <c r="I924" t="s">
        <v>52</v>
      </c>
      <c r="J924" t="s">
        <v>160</v>
      </c>
      <c r="K924" t="s">
        <v>161</v>
      </c>
      <c r="L924">
        <v>5</v>
      </c>
      <c r="M924">
        <v>673.85</v>
      </c>
      <c r="N924">
        <v>0</v>
      </c>
      <c r="O924">
        <v>3369.25</v>
      </c>
      <c r="P924">
        <v>822.97</v>
      </c>
    </row>
    <row r="925" spans="1:16" x14ac:dyDescent="0.35">
      <c r="A925" t="s">
        <v>1249</v>
      </c>
      <c r="B925" s="1">
        <v>45551</v>
      </c>
      <c r="C925" s="1">
        <v>45557</v>
      </c>
      <c r="D925" t="s">
        <v>65</v>
      </c>
      <c r="E925" t="s">
        <v>589</v>
      </c>
      <c r="F925" t="s">
        <v>27</v>
      </c>
      <c r="G925" t="s">
        <v>288</v>
      </c>
      <c r="H925" t="s">
        <v>112</v>
      </c>
      <c r="I925" t="s">
        <v>30</v>
      </c>
      <c r="J925" t="s">
        <v>99</v>
      </c>
      <c r="K925" t="s">
        <v>100</v>
      </c>
      <c r="L925">
        <v>9</v>
      </c>
      <c r="M925">
        <v>256.57</v>
      </c>
      <c r="N925">
        <v>0.15</v>
      </c>
      <c r="O925">
        <v>2309.13</v>
      </c>
      <c r="P925">
        <v>-151.97</v>
      </c>
    </row>
    <row r="926" spans="1:16" x14ac:dyDescent="0.35">
      <c r="A926" t="s">
        <v>1250</v>
      </c>
      <c r="B926" s="1">
        <v>45376</v>
      </c>
      <c r="C926" s="1">
        <v>45383</v>
      </c>
      <c r="D926" t="s">
        <v>59</v>
      </c>
      <c r="E926" t="s">
        <v>312</v>
      </c>
      <c r="F926" t="s">
        <v>27</v>
      </c>
      <c r="G926" t="s">
        <v>61</v>
      </c>
      <c r="H926" t="s">
        <v>62</v>
      </c>
      <c r="I926" t="s">
        <v>22</v>
      </c>
      <c r="J926" t="s">
        <v>37</v>
      </c>
      <c r="K926" t="s">
        <v>144</v>
      </c>
      <c r="L926">
        <v>12</v>
      </c>
      <c r="M926">
        <v>339.03</v>
      </c>
      <c r="N926">
        <v>0</v>
      </c>
      <c r="O926">
        <v>4068.36</v>
      </c>
      <c r="P926">
        <v>371.36</v>
      </c>
    </row>
    <row r="927" spans="1:16" x14ac:dyDescent="0.35">
      <c r="A927" t="s">
        <v>1251</v>
      </c>
      <c r="B927" s="1">
        <v>45269</v>
      </c>
      <c r="C927" s="1">
        <v>45273</v>
      </c>
      <c r="D927" t="s">
        <v>59</v>
      </c>
      <c r="F927" t="s">
        <v>19</v>
      </c>
      <c r="G927" t="s">
        <v>72</v>
      </c>
      <c r="H927" t="s">
        <v>62</v>
      </c>
      <c r="I927" t="s">
        <v>52</v>
      </c>
      <c r="J927" t="s">
        <v>53</v>
      </c>
      <c r="K927" t="s">
        <v>54</v>
      </c>
      <c r="L927">
        <v>3</v>
      </c>
      <c r="M927">
        <v>868.29</v>
      </c>
      <c r="N927">
        <v>0</v>
      </c>
      <c r="O927">
        <v>2604.87</v>
      </c>
      <c r="P927">
        <v>-11.14</v>
      </c>
    </row>
    <row r="928" spans="1:16" x14ac:dyDescent="0.35">
      <c r="A928" t="s">
        <v>1252</v>
      </c>
      <c r="B928" s="1">
        <v>45188</v>
      </c>
      <c r="C928" s="1">
        <v>45195</v>
      </c>
      <c r="D928" t="s">
        <v>44</v>
      </c>
      <c r="E928" t="s">
        <v>693</v>
      </c>
      <c r="F928" t="s">
        <v>27</v>
      </c>
      <c r="G928" t="s">
        <v>107</v>
      </c>
      <c r="H928" t="s">
        <v>46</v>
      </c>
      <c r="I928" t="s">
        <v>52</v>
      </c>
      <c r="J928" t="s">
        <v>194</v>
      </c>
      <c r="K928" t="s">
        <v>361</v>
      </c>
      <c r="L928">
        <v>-3</v>
      </c>
      <c r="M928">
        <v>29.32</v>
      </c>
      <c r="N928">
        <v>0</v>
      </c>
      <c r="O928">
        <v>87.96</v>
      </c>
      <c r="P928">
        <v>-0.09</v>
      </c>
    </row>
    <row r="929" spans="1:16" x14ac:dyDescent="0.35">
      <c r="A929" t="s">
        <v>1253</v>
      </c>
      <c r="B929" s="1">
        <v>45314</v>
      </c>
      <c r="C929" s="1">
        <v>45321</v>
      </c>
      <c r="D929" t="s">
        <v>17</v>
      </c>
      <c r="E929" t="s">
        <v>351</v>
      </c>
      <c r="F929" t="s">
        <v>27</v>
      </c>
      <c r="G929" t="s">
        <v>67</v>
      </c>
      <c r="H929" t="s">
        <v>21</v>
      </c>
      <c r="I929" t="s">
        <v>52</v>
      </c>
      <c r="J929" t="s">
        <v>160</v>
      </c>
      <c r="K929" t="s">
        <v>234</v>
      </c>
      <c r="L929">
        <v>2</v>
      </c>
      <c r="M929">
        <v>104.28</v>
      </c>
      <c r="N929">
        <v>0.15</v>
      </c>
      <c r="O929">
        <v>208.56</v>
      </c>
      <c r="P929">
        <v>-18.489999999999998</v>
      </c>
    </row>
    <row r="930" spans="1:16" x14ac:dyDescent="0.35">
      <c r="A930" t="s">
        <v>1254</v>
      </c>
      <c r="B930" s="1">
        <v>45320</v>
      </c>
      <c r="C930" s="1">
        <v>45326</v>
      </c>
      <c r="D930" t="s">
        <v>59</v>
      </c>
      <c r="E930" t="s">
        <v>269</v>
      </c>
      <c r="F930" t="s">
        <v>19</v>
      </c>
      <c r="G930" t="s">
        <v>187</v>
      </c>
      <c r="I930" t="s">
        <v>52</v>
      </c>
      <c r="J930" t="s">
        <v>68</v>
      </c>
      <c r="K930" t="s">
        <v>216</v>
      </c>
      <c r="L930">
        <v>5</v>
      </c>
      <c r="M930">
        <v>862.87</v>
      </c>
      <c r="N930">
        <v>0.1</v>
      </c>
      <c r="O930">
        <v>4314.3500000000004</v>
      </c>
      <c r="P930">
        <v>-259.89999999999998</v>
      </c>
    </row>
    <row r="931" spans="1:16" x14ac:dyDescent="0.35">
      <c r="A931" t="s">
        <v>1255</v>
      </c>
      <c r="B931" s="1">
        <v>45090</v>
      </c>
      <c r="C931" s="1">
        <v>45093</v>
      </c>
      <c r="D931" t="s">
        <v>65</v>
      </c>
      <c r="E931" t="s">
        <v>316</v>
      </c>
      <c r="F931" t="s">
        <v>35</v>
      </c>
      <c r="G931" t="s">
        <v>28</v>
      </c>
      <c r="H931" t="s">
        <v>29</v>
      </c>
      <c r="I931" t="s">
        <v>52</v>
      </c>
      <c r="J931" t="s">
        <v>53</v>
      </c>
      <c r="K931" t="s">
        <v>54</v>
      </c>
      <c r="L931">
        <v>1</v>
      </c>
      <c r="M931">
        <v>54.52</v>
      </c>
      <c r="N931">
        <v>0</v>
      </c>
      <c r="O931">
        <v>54.52</v>
      </c>
      <c r="P931">
        <v>0.38</v>
      </c>
    </row>
    <row r="932" spans="1:16" x14ac:dyDescent="0.35">
      <c r="A932" t="s">
        <v>1256</v>
      </c>
      <c r="B932" s="1">
        <v>45455</v>
      </c>
      <c r="C932" s="1">
        <v>45460</v>
      </c>
      <c r="D932" t="s">
        <v>17</v>
      </c>
      <c r="F932" t="s">
        <v>27</v>
      </c>
      <c r="G932" t="s">
        <v>187</v>
      </c>
      <c r="H932" t="s">
        <v>159</v>
      </c>
      <c r="I932" t="s">
        <v>22</v>
      </c>
      <c r="J932" t="s">
        <v>115</v>
      </c>
      <c r="K932" t="s">
        <v>116</v>
      </c>
      <c r="L932">
        <v>7</v>
      </c>
      <c r="M932">
        <v>580.98</v>
      </c>
      <c r="N932">
        <v>0.2</v>
      </c>
      <c r="O932">
        <v>4066.86</v>
      </c>
      <c r="P932">
        <v>661.27</v>
      </c>
    </row>
    <row r="933" spans="1:16" x14ac:dyDescent="0.35">
      <c r="A933" t="s">
        <v>1257</v>
      </c>
      <c r="B933" s="1">
        <v>45114</v>
      </c>
      <c r="C933" s="1">
        <v>45120</v>
      </c>
      <c r="D933" t="s">
        <v>65</v>
      </c>
      <c r="E933" t="s">
        <v>447</v>
      </c>
      <c r="F933" t="s">
        <v>35</v>
      </c>
      <c r="G933" t="s">
        <v>103</v>
      </c>
      <c r="H933" t="s">
        <v>73</v>
      </c>
      <c r="I933" t="s">
        <v>30</v>
      </c>
      <c r="J933" t="s">
        <v>47</v>
      </c>
      <c r="K933" t="s">
        <v>48</v>
      </c>
      <c r="L933">
        <v>6</v>
      </c>
      <c r="M933">
        <v>397.54</v>
      </c>
      <c r="N933">
        <v>0.15</v>
      </c>
      <c r="O933">
        <v>2385.2399999999998</v>
      </c>
      <c r="P933">
        <v>503.92</v>
      </c>
    </row>
    <row r="934" spans="1:16" x14ac:dyDescent="0.35">
      <c r="A934" t="s">
        <v>1258</v>
      </c>
      <c r="B934" s="1">
        <v>45404</v>
      </c>
      <c r="C934" s="1">
        <v>45405</v>
      </c>
      <c r="D934" t="s">
        <v>65</v>
      </c>
      <c r="E934" t="s">
        <v>873</v>
      </c>
      <c r="F934" t="s">
        <v>19</v>
      </c>
      <c r="H934" t="s">
        <v>21</v>
      </c>
      <c r="I934" t="s">
        <v>30</v>
      </c>
      <c r="J934" t="s">
        <v>41</v>
      </c>
      <c r="K934" t="s">
        <v>42</v>
      </c>
      <c r="L934">
        <v>10</v>
      </c>
      <c r="M934">
        <v>379.23</v>
      </c>
      <c r="N934">
        <v>0.3</v>
      </c>
      <c r="O934">
        <v>3792.3</v>
      </c>
      <c r="P934">
        <v>1142.07</v>
      </c>
    </row>
    <row r="935" spans="1:16" x14ac:dyDescent="0.35">
      <c r="A935" t="s">
        <v>1259</v>
      </c>
      <c r="B935" s="1">
        <v>45363</v>
      </c>
      <c r="C935" s="1">
        <v>45368</v>
      </c>
      <c r="D935" t="s">
        <v>59</v>
      </c>
      <c r="E935" t="s">
        <v>737</v>
      </c>
      <c r="F935" t="s">
        <v>19</v>
      </c>
      <c r="G935" t="s">
        <v>20</v>
      </c>
      <c r="H935" t="s">
        <v>21</v>
      </c>
      <c r="I935" t="s">
        <v>52</v>
      </c>
      <c r="J935" t="s">
        <v>78</v>
      </c>
      <c r="K935" t="s">
        <v>79</v>
      </c>
      <c r="L935">
        <v>10</v>
      </c>
      <c r="M935">
        <v>150.58000000000001</v>
      </c>
      <c r="N935">
        <v>0.1</v>
      </c>
      <c r="O935">
        <v>1505.8</v>
      </c>
      <c r="P935">
        <v>61.41</v>
      </c>
    </row>
    <row r="936" spans="1:16" x14ac:dyDescent="0.35">
      <c r="A936" t="s">
        <v>1260</v>
      </c>
      <c r="B936" s="1">
        <v>45479</v>
      </c>
      <c r="C936" s="1">
        <v>45481</v>
      </c>
      <c r="D936" t="s">
        <v>17</v>
      </c>
      <c r="E936" t="s">
        <v>221</v>
      </c>
      <c r="F936" t="s">
        <v>27</v>
      </c>
      <c r="G936" t="s">
        <v>332</v>
      </c>
      <c r="H936" t="s">
        <v>46</v>
      </c>
      <c r="I936" t="s">
        <v>52</v>
      </c>
      <c r="J936" t="s">
        <v>78</v>
      </c>
      <c r="K936" t="s">
        <v>79</v>
      </c>
      <c r="L936">
        <v>1</v>
      </c>
      <c r="M936">
        <v>5.08</v>
      </c>
      <c r="N936">
        <v>0.3</v>
      </c>
      <c r="O936">
        <v>5.08</v>
      </c>
      <c r="P936">
        <v>1.1599999999999999</v>
      </c>
    </row>
    <row r="937" spans="1:16" x14ac:dyDescent="0.35">
      <c r="A937" t="s">
        <v>851</v>
      </c>
      <c r="B937" s="1">
        <v>45516</v>
      </c>
      <c r="C937" s="1">
        <v>45521</v>
      </c>
      <c r="D937" t="s">
        <v>59</v>
      </c>
      <c r="E937" t="s">
        <v>437</v>
      </c>
      <c r="F937" t="s">
        <v>27</v>
      </c>
      <c r="G937" t="s">
        <v>107</v>
      </c>
      <c r="H937" t="s">
        <v>46</v>
      </c>
      <c r="I937" t="s">
        <v>52</v>
      </c>
      <c r="J937" t="s">
        <v>78</v>
      </c>
      <c r="K937" t="s">
        <v>198</v>
      </c>
      <c r="L937">
        <v>2</v>
      </c>
      <c r="M937">
        <v>430.89</v>
      </c>
      <c r="N937">
        <v>0.2</v>
      </c>
      <c r="O937">
        <v>861.78</v>
      </c>
      <c r="P937">
        <v>-108.02</v>
      </c>
    </row>
    <row r="938" spans="1:16" x14ac:dyDescent="0.35">
      <c r="A938" t="s">
        <v>1261</v>
      </c>
      <c r="B938" s="1">
        <v>45106</v>
      </c>
      <c r="C938" s="1">
        <v>45112</v>
      </c>
      <c r="D938" t="s">
        <v>44</v>
      </c>
      <c r="E938" t="s">
        <v>120</v>
      </c>
      <c r="F938" t="s">
        <v>35</v>
      </c>
      <c r="G938" t="s">
        <v>67</v>
      </c>
      <c r="H938" t="s">
        <v>36</v>
      </c>
      <c r="I938" t="s">
        <v>30</v>
      </c>
      <c r="J938" t="s">
        <v>47</v>
      </c>
      <c r="K938" t="s">
        <v>94</v>
      </c>
      <c r="L938">
        <v>8</v>
      </c>
      <c r="M938">
        <v>347.22</v>
      </c>
      <c r="N938">
        <v>0.2</v>
      </c>
      <c r="O938">
        <v>2777.76</v>
      </c>
      <c r="P938">
        <v>613.63</v>
      </c>
    </row>
    <row r="939" spans="1:16" x14ac:dyDescent="0.35">
      <c r="A939" t="s">
        <v>1262</v>
      </c>
      <c r="B939" s="1">
        <v>45370</v>
      </c>
      <c r="C939" s="1">
        <v>45375</v>
      </c>
      <c r="D939" t="s">
        <v>44</v>
      </c>
      <c r="E939" t="s">
        <v>688</v>
      </c>
      <c r="F939" t="s">
        <v>27</v>
      </c>
      <c r="G939" t="s">
        <v>181</v>
      </c>
      <c r="H939" t="s">
        <v>83</v>
      </c>
      <c r="I939" t="s">
        <v>30</v>
      </c>
      <c r="J939" t="s">
        <v>47</v>
      </c>
      <c r="K939" t="s">
        <v>94</v>
      </c>
      <c r="L939">
        <v>12</v>
      </c>
      <c r="M939">
        <v>206.8</v>
      </c>
      <c r="N939">
        <v>0.15</v>
      </c>
      <c r="O939">
        <v>2481.6</v>
      </c>
      <c r="P939">
        <v>738.18</v>
      </c>
    </row>
    <row r="940" spans="1:16" x14ac:dyDescent="0.35">
      <c r="A940" t="s">
        <v>1263</v>
      </c>
      <c r="B940" s="1">
        <v>45513</v>
      </c>
      <c r="C940" s="1">
        <v>45516</v>
      </c>
      <c r="D940" t="s">
        <v>59</v>
      </c>
      <c r="E940" t="s">
        <v>163</v>
      </c>
      <c r="F940" t="s">
        <v>27</v>
      </c>
      <c r="G940" t="s">
        <v>103</v>
      </c>
      <c r="H940" t="s">
        <v>73</v>
      </c>
      <c r="I940" t="s">
        <v>52</v>
      </c>
      <c r="J940" t="s">
        <v>160</v>
      </c>
      <c r="K940" t="s">
        <v>634</v>
      </c>
      <c r="L940">
        <v>4</v>
      </c>
      <c r="M940">
        <v>135.88999999999999</v>
      </c>
      <c r="N940">
        <v>0</v>
      </c>
      <c r="O940">
        <v>543.55999999999995</v>
      </c>
      <c r="P940">
        <v>143.63</v>
      </c>
    </row>
    <row r="941" spans="1:16" x14ac:dyDescent="0.35">
      <c r="A941" t="s">
        <v>1264</v>
      </c>
      <c r="B941" s="1">
        <v>44953</v>
      </c>
      <c r="C941" s="1">
        <v>44956</v>
      </c>
      <c r="E941" t="s">
        <v>461</v>
      </c>
      <c r="F941" t="s">
        <v>27</v>
      </c>
      <c r="G941" t="s">
        <v>72</v>
      </c>
      <c r="H941" t="s">
        <v>73</v>
      </c>
      <c r="I941" t="s">
        <v>52</v>
      </c>
      <c r="J941" t="s">
        <v>160</v>
      </c>
      <c r="K941" t="s">
        <v>634</v>
      </c>
      <c r="L941">
        <v>10</v>
      </c>
      <c r="M941">
        <v>899.65</v>
      </c>
      <c r="N941">
        <v>0</v>
      </c>
      <c r="O941">
        <v>8996.5</v>
      </c>
      <c r="P941">
        <v>-899.05</v>
      </c>
    </row>
    <row r="942" spans="1:16" x14ac:dyDescent="0.35">
      <c r="A942" t="s">
        <v>1265</v>
      </c>
      <c r="B942" s="1">
        <v>45578</v>
      </c>
      <c r="C942" s="1">
        <v>45581</v>
      </c>
      <c r="D942" t="s">
        <v>44</v>
      </c>
      <c r="E942" t="s">
        <v>255</v>
      </c>
      <c r="F942" t="s">
        <v>19</v>
      </c>
      <c r="G942" t="s">
        <v>211</v>
      </c>
      <c r="H942" t="s">
        <v>29</v>
      </c>
      <c r="I942" t="s">
        <v>52</v>
      </c>
      <c r="J942" t="s">
        <v>53</v>
      </c>
      <c r="K942" t="s">
        <v>91</v>
      </c>
      <c r="L942">
        <v>8</v>
      </c>
      <c r="M942">
        <v>481.56</v>
      </c>
      <c r="N942">
        <v>0.3</v>
      </c>
      <c r="O942">
        <v>3852.48</v>
      </c>
      <c r="P942">
        <v>-134.62</v>
      </c>
    </row>
    <row r="943" spans="1:16" x14ac:dyDescent="0.35">
      <c r="A943" t="s">
        <v>1266</v>
      </c>
      <c r="B943" s="1">
        <v>45068</v>
      </c>
      <c r="C943" s="1">
        <v>45074</v>
      </c>
      <c r="D943" t="s">
        <v>59</v>
      </c>
      <c r="E943" t="s">
        <v>375</v>
      </c>
      <c r="F943" t="s">
        <v>27</v>
      </c>
      <c r="G943" t="s">
        <v>86</v>
      </c>
      <c r="H943" t="s">
        <v>29</v>
      </c>
      <c r="I943" t="s">
        <v>52</v>
      </c>
      <c r="J943" t="s">
        <v>53</v>
      </c>
      <c r="K943" t="s">
        <v>91</v>
      </c>
      <c r="L943">
        <v>6</v>
      </c>
      <c r="M943">
        <v>168.67</v>
      </c>
      <c r="N943">
        <v>0.1</v>
      </c>
      <c r="O943">
        <v>1012.02</v>
      </c>
      <c r="P943">
        <v>50.73</v>
      </c>
    </row>
    <row r="944" spans="1:16" x14ac:dyDescent="0.35">
      <c r="A944" t="s">
        <v>1267</v>
      </c>
      <c r="B944" s="1">
        <v>44992</v>
      </c>
      <c r="C944" s="1">
        <v>44997</v>
      </c>
      <c r="D944" t="s">
        <v>65</v>
      </c>
      <c r="E944" t="s">
        <v>324</v>
      </c>
      <c r="F944" t="s">
        <v>27</v>
      </c>
      <c r="G944" t="s">
        <v>181</v>
      </c>
      <c r="H944" t="s">
        <v>46</v>
      </c>
      <c r="I944" t="s">
        <v>30</v>
      </c>
      <c r="J944" t="s">
        <v>47</v>
      </c>
      <c r="K944" t="s">
        <v>63</v>
      </c>
      <c r="L944">
        <v>11</v>
      </c>
      <c r="M944">
        <v>880.61</v>
      </c>
      <c r="O944">
        <v>9686.7099999999991</v>
      </c>
      <c r="P944">
        <v>3214.93</v>
      </c>
    </row>
    <row r="945" spans="1:16" x14ac:dyDescent="0.35">
      <c r="A945" t="s">
        <v>1268</v>
      </c>
      <c r="B945" s="1">
        <v>45257</v>
      </c>
      <c r="C945" s="1">
        <v>45261</v>
      </c>
      <c r="D945" t="s">
        <v>17</v>
      </c>
      <c r="E945" t="s">
        <v>847</v>
      </c>
      <c r="F945" t="s">
        <v>35</v>
      </c>
      <c r="G945" t="s">
        <v>86</v>
      </c>
      <c r="H945" t="s">
        <v>159</v>
      </c>
      <c r="I945" t="s">
        <v>22</v>
      </c>
      <c r="J945" t="s">
        <v>115</v>
      </c>
      <c r="K945" t="s">
        <v>116</v>
      </c>
      <c r="L945">
        <v>10</v>
      </c>
      <c r="M945">
        <v>833.19</v>
      </c>
      <c r="N945">
        <v>0.2</v>
      </c>
      <c r="O945">
        <v>8331.9</v>
      </c>
      <c r="P945">
        <v>2363.11</v>
      </c>
    </row>
    <row r="946" spans="1:16" x14ac:dyDescent="0.35">
      <c r="A946" t="s">
        <v>1269</v>
      </c>
      <c r="B946" s="1">
        <v>45433</v>
      </c>
      <c r="C946" s="1">
        <v>45437</v>
      </c>
      <c r="D946" t="s">
        <v>59</v>
      </c>
      <c r="E946" t="s">
        <v>241</v>
      </c>
      <c r="F946" t="s">
        <v>27</v>
      </c>
      <c r="G946" t="s">
        <v>67</v>
      </c>
      <c r="H946" t="s">
        <v>36</v>
      </c>
      <c r="I946" t="s">
        <v>22</v>
      </c>
      <c r="J946" t="s">
        <v>74</v>
      </c>
      <c r="K946" t="s">
        <v>165</v>
      </c>
      <c r="L946">
        <v>8</v>
      </c>
      <c r="M946">
        <v>777.54</v>
      </c>
      <c r="N946">
        <v>0.1</v>
      </c>
      <c r="O946">
        <v>6220.32</v>
      </c>
      <c r="P946">
        <v>-253.19</v>
      </c>
    </row>
    <row r="947" spans="1:16" x14ac:dyDescent="0.35">
      <c r="A947" t="s">
        <v>1270</v>
      </c>
      <c r="B947" s="1">
        <v>45565</v>
      </c>
      <c r="C947" s="1">
        <v>45569</v>
      </c>
      <c r="D947" t="s">
        <v>17</v>
      </c>
      <c r="E947" t="s">
        <v>535</v>
      </c>
      <c r="F947" t="s">
        <v>27</v>
      </c>
      <c r="G947" t="s">
        <v>107</v>
      </c>
      <c r="H947" t="s">
        <v>123</v>
      </c>
      <c r="I947" t="s">
        <v>52</v>
      </c>
      <c r="J947" t="s">
        <v>53</v>
      </c>
      <c r="K947" t="s">
        <v>54</v>
      </c>
      <c r="L947">
        <v>7</v>
      </c>
      <c r="M947">
        <v>166.38</v>
      </c>
      <c r="N947">
        <v>0.1</v>
      </c>
      <c r="O947">
        <v>1164.6600000000001</v>
      </c>
      <c r="P947">
        <v>-160.82</v>
      </c>
    </row>
    <row r="948" spans="1:16" x14ac:dyDescent="0.35">
      <c r="A948" t="s">
        <v>1271</v>
      </c>
      <c r="B948" s="1">
        <v>45158</v>
      </c>
      <c r="C948" s="1">
        <v>45160</v>
      </c>
      <c r="D948" t="s">
        <v>17</v>
      </c>
      <c r="E948" t="s">
        <v>156</v>
      </c>
      <c r="F948" t="s">
        <v>19</v>
      </c>
      <c r="G948" t="s">
        <v>28</v>
      </c>
      <c r="H948" t="s">
        <v>29</v>
      </c>
      <c r="I948" t="s">
        <v>30</v>
      </c>
      <c r="J948" t="s">
        <v>41</v>
      </c>
      <c r="K948" t="s">
        <v>124</v>
      </c>
      <c r="L948">
        <v>10</v>
      </c>
      <c r="M948">
        <v>342.16</v>
      </c>
      <c r="N948">
        <v>0</v>
      </c>
      <c r="O948">
        <v>3421.6</v>
      </c>
      <c r="P948">
        <v>-203.85</v>
      </c>
    </row>
    <row r="949" spans="1:16" x14ac:dyDescent="0.35">
      <c r="A949" t="s">
        <v>1272</v>
      </c>
      <c r="B949" s="1">
        <v>45238</v>
      </c>
      <c r="C949" s="1">
        <v>45239</v>
      </c>
      <c r="D949" t="s">
        <v>17</v>
      </c>
      <c r="E949" t="s">
        <v>445</v>
      </c>
      <c r="F949" t="s">
        <v>27</v>
      </c>
      <c r="G949" t="s">
        <v>28</v>
      </c>
      <c r="I949" t="s">
        <v>30</v>
      </c>
      <c r="J949" t="s">
        <v>31</v>
      </c>
      <c r="K949" t="s">
        <v>32</v>
      </c>
      <c r="L949">
        <v>2</v>
      </c>
      <c r="M949">
        <v>820.65</v>
      </c>
      <c r="N949">
        <v>0.1</v>
      </c>
      <c r="O949">
        <v>1641.3</v>
      </c>
      <c r="P949">
        <v>-13.28</v>
      </c>
    </row>
    <row r="950" spans="1:16" x14ac:dyDescent="0.35">
      <c r="A950" t="s">
        <v>1273</v>
      </c>
      <c r="B950" s="1">
        <v>45070</v>
      </c>
      <c r="C950" s="1">
        <v>45077</v>
      </c>
      <c r="D950" t="s">
        <v>65</v>
      </c>
      <c r="E950" t="s">
        <v>331</v>
      </c>
      <c r="F950" t="s">
        <v>27</v>
      </c>
      <c r="G950" t="s">
        <v>28</v>
      </c>
      <c r="H950" t="s">
        <v>159</v>
      </c>
      <c r="I950" t="s">
        <v>22</v>
      </c>
      <c r="J950" t="s">
        <v>37</v>
      </c>
      <c r="K950" t="s">
        <v>38</v>
      </c>
      <c r="L950">
        <v>2</v>
      </c>
      <c r="M950">
        <v>665.28</v>
      </c>
      <c r="N950">
        <v>0</v>
      </c>
      <c r="O950">
        <v>1330.56</v>
      </c>
      <c r="P950">
        <v>107.04</v>
      </c>
    </row>
    <row r="951" spans="1:16" x14ac:dyDescent="0.35">
      <c r="A951" t="s">
        <v>1274</v>
      </c>
      <c r="B951" s="1">
        <v>45642</v>
      </c>
      <c r="C951" s="1">
        <v>45646</v>
      </c>
      <c r="D951" t="s">
        <v>59</v>
      </c>
      <c r="E951" t="s">
        <v>56</v>
      </c>
      <c r="F951" t="s">
        <v>27</v>
      </c>
      <c r="G951" t="s">
        <v>111</v>
      </c>
      <c r="H951" t="s">
        <v>112</v>
      </c>
      <c r="I951" t="s">
        <v>52</v>
      </c>
      <c r="J951" t="s">
        <v>160</v>
      </c>
      <c r="K951" t="s">
        <v>634</v>
      </c>
      <c r="L951">
        <v>7</v>
      </c>
      <c r="M951">
        <v>273.87</v>
      </c>
      <c r="N951">
        <v>0</v>
      </c>
      <c r="O951">
        <v>1917.09</v>
      </c>
      <c r="P951">
        <v>-230.32</v>
      </c>
    </row>
    <row r="952" spans="1:16" x14ac:dyDescent="0.35">
      <c r="A952" t="s">
        <v>1275</v>
      </c>
      <c r="B952" s="1">
        <v>44942</v>
      </c>
      <c r="C952" s="1">
        <v>44943</v>
      </c>
      <c r="D952" t="s">
        <v>59</v>
      </c>
      <c r="E952" t="s">
        <v>303</v>
      </c>
      <c r="F952" t="s">
        <v>35</v>
      </c>
      <c r="G952" t="s">
        <v>86</v>
      </c>
      <c r="H952" t="s">
        <v>29</v>
      </c>
      <c r="I952" t="s">
        <v>52</v>
      </c>
      <c r="J952" t="s">
        <v>194</v>
      </c>
      <c r="K952" t="s">
        <v>195</v>
      </c>
      <c r="L952">
        <v>9</v>
      </c>
      <c r="M952">
        <v>876.27</v>
      </c>
      <c r="N952">
        <v>0</v>
      </c>
      <c r="O952">
        <v>7886.43</v>
      </c>
      <c r="P952">
        <v>1247.1099999999999</v>
      </c>
    </row>
    <row r="953" spans="1:16" x14ac:dyDescent="0.35">
      <c r="A953" t="s">
        <v>1276</v>
      </c>
      <c r="B953" s="1">
        <v>45637</v>
      </c>
      <c r="C953" s="1">
        <v>45638</v>
      </c>
      <c r="D953" t="s">
        <v>44</v>
      </c>
      <c r="E953" t="s">
        <v>1277</v>
      </c>
      <c r="F953" t="s">
        <v>35</v>
      </c>
      <c r="G953" t="s">
        <v>132</v>
      </c>
      <c r="H953" t="s">
        <v>112</v>
      </c>
      <c r="I953" t="s">
        <v>52</v>
      </c>
      <c r="J953" t="s">
        <v>68</v>
      </c>
      <c r="K953" t="s">
        <v>216</v>
      </c>
      <c r="L953">
        <v>8</v>
      </c>
      <c r="M953">
        <v>631.11</v>
      </c>
      <c r="N953">
        <v>0.15</v>
      </c>
      <c r="O953">
        <v>5048.88</v>
      </c>
      <c r="P953">
        <v>-62.36</v>
      </c>
    </row>
    <row r="954" spans="1:16" x14ac:dyDescent="0.35">
      <c r="A954" t="s">
        <v>1278</v>
      </c>
      <c r="B954" s="1">
        <v>45232</v>
      </c>
      <c r="C954" s="1">
        <v>45233</v>
      </c>
      <c r="D954" t="s">
        <v>17</v>
      </c>
      <c r="E954" t="s">
        <v>312</v>
      </c>
      <c r="F954" t="s">
        <v>27</v>
      </c>
      <c r="G954" t="s">
        <v>332</v>
      </c>
      <c r="H954" t="s">
        <v>123</v>
      </c>
      <c r="I954" t="s">
        <v>30</v>
      </c>
      <c r="J954" t="s">
        <v>47</v>
      </c>
      <c r="K954" t="s">
        <v>94</v>
      </c>
      <c r="L954">
        <v>5</v>
      </c>
      <c r="M954">
        <v>354.43</v>
      </c>
      <c r="N954">
        <v>0</v>
      </c>
      <c r="O954">
        <v>1772.15</v>
      </c>
      <c r="P954">
        <v>-205.61</v>
      </c>
    </row>
    <row r="955" spans="1:16" x14ac:dyDescent="0.35">
      <c r="A955" t="s">
        <v>1279</v>
      </c>
      <c r="B955" s="1">
        <v>45342</v>
      </c>
      <c r="C955" s="1">
        <v>45346</v>
      </c>
      <c r="D955" t="s">
        <v>17</v>
      </c>
      <c r="E955" t="s">
        <v>373</v>
      </c>
      <c r="F955" t="s">
        <v>35</v>
      </c>
      <c r="G955" t="s">
        <v>132</v>
      </c>
      <c r="H955" t="s">
        <v>129</v>
      </c>
      <c r="I955" t="s">
        <v>52</v>
      </c>
      <c r="J955" t="s">
        <v>78</v>
      </c>
      <c r="K955" t="s">
        <v>79</v>
      </c>
      <c r="L955">
        <v>6</v>
      </c>
      <c r="M955">
        <v>600.51</v>
      </c>
      <c r="N955">
        <v>0</v>
      </c>
      <c r="O955">
        <v>3603.06</v>
      </c>
      <c r="P955">
        <v>762.6</v>
      </c>
    </row>
    <row r="956" spans="1:16" x14ac:dyDescent="0.35">
      <c r="A956" t="s">
        <v>1280</v>
      </c>
      <c r="B956" s="1">
        <v>45526</v>
      </c>
      <c r="C956" s="1">
        <v>45530</v>
      </c>
      <c r="D956" t="s">
        <v>17</v>
      </c>
      <c r="E956" t="s">
        <v>675</v>
      </c>
      <c r="F956" t="s">
        <v>27</v>
      </c>
      <c r="G956" t="s">
        <v>211</v>
      </c>
      <c r="H956" t="s">
        <v>29</v>
      </c>
      <c r="I956" t="s">
        <v>52</v>
      </c>
      <c r="J956" t="s">
        <v>68</v>
      </c>
      <c r="K956" t="s">
        <v>69</v>
      </c>
      <c r="L956">
        <v>9</v>
      </c>
      <c r="M956">
        <v>747.72</v>
      </c>
      <c r="N956">
        <v>0.3</v>
      </c>
      <c r="O956">
        <v>6729.48</v>
      </c>
      <c r="P956">
        <v>-104.47</v>
      </c>
    </row>
    <row r="957" spans="1:16" x14ac:dyDescent="0.35">
      <c r="A957" t="s">
        <v>1281</v>
      </c>
      <c r="B957" s="1">
        <v>45542</v>
      </c>
      <c r="C957" s="1">
        <v>45545</v>
      </c>
      <c r="D957" t="s">
        <v>65</v>
      </c>
      <c r="E957" t="s">
        <v>110</v>
      </c>
      <c r="F957" t="s">
        <v>19</v>
      </c>
      <c r="G957" t="s">
        <v>288</v>
      </c>
      <c r="H957" t="s">
        <v>129</v>
      </c>
      <c r="I957" t="s">
        <v>22</v>
      </c>
      <c r="J957" t="s">
        <v>37</v>
      </c>
      <c r="K957" t="s">
        <v>144</v>
      </c>
      <c r="L957">
        <v>9</v>
      </c>
      <c r="M957">
        <v>227.87</v>
      </c>
      <c r="N957">
        <v>0</v>
      </c>
      <c r="O957">
        <v>2050.83</v>
      </c>
      <c r="P957">
        <v>387.45</v>
      </c>
    </row>
    <row r="958" spans="1:16" x14ac:dyDescent="0.35">
      <c r="A958" t="s">
        <v>1282</v>
      </c>
      <c r="B958" s="1">
        <v>45473</v>
      </c>
      <c r="C958" s="1">
        <v>45480</v>
      </c>
      <c r="D958" t="s">
        <v>44</v>
      </c>
      <c r="E958" t="s">
        <v>445</v>
      </c>
      <c r="F958" t="s">
        <v>19</v>
      </c>
      <c r="G958" t="s">
        <v>107</v>
      </c>
      <c r="H958" t="s">
        <v>83</v>
      </c>
      <c r="I958" t="s">
        <v>52</v>
      </c>
      <c r="J958" t="s">
        <v>68</v>
      </c>
      <c r="K958" t="s">
        <v>69</v>
      </c>
      <c r="L958">
        <v>10</v>
      </c>
      <c r="M958">
        <v>289.61</v>
      </c>
      <c r="N958">
        <v>0.2</v>
      </c>
      <c r="O958">
        <v>2896.1</v>
      </c>
      <c r="P958">
        <v>575.78</v>
      </c>
    </row>
    <row r="959" spans="1:16" x14ac:dyDescent="0.35">
      <c r="A959" t="s">
        <v>1283</v>
      </c>
      <c r="B959" s="1">
        <v>45058</v>
      </c>
      <c r="C959" s="1">
        <v>45062</v>
      </c>
      <c r="D959" t="s">
        <v>59</v>
      </c>
      <c r="E959" t="s">
        <v>476</v>
      </c>
      <c r="F959" t="s">
        <v>35</v>
      </c>
      <c r="G959" t="s">
        <v>181</v>
      </c>
      <c r="H959" t="s">
        <v>123</v>
      </c>
      <c r="I959" t="s">
        <v>30</v>
      </c>
      <c r="J959" t="s">
        <v>99</v>
      </c>
      <c r="K959" t="s">
        <v>208</v>
      </c>
      <c r="L959">
        <v>10</v>
      </c>
      <c r="M959">
        <v>84.1</v>
      </c>
      <c r="N959">
        <v>0.3</v>
      </c>
      <c r="O959">
        <v>841</v>
      </c>
      <c r="P959">
        <v>194.58</v>
      </c>
    </row>
    <row r="960" spans="1:16" x14ac:dyDescent="0.35">
      <c r="A960" t="s">
        <v>1284</v>
      </c>
      <c r="B960" s="1">
        <v>45299</v>
      </c>
      <c r="C960" s="1">
        <v>45304</v>
      </c>
      <c r="D960" t="s">
        <v>17</v>
      </c>
      <c r="E960" t="s">
        <v>807</v>
      </c>
      <c r="F960" t="s">
        <v>19</v>
      </c>
      <c r="G960" t="s">
        <v>107</v>
      </c>
      <c r="H960" t="s">
        <v>83</v>
      </c>
      <c r="I960" t="s">
        <v>22</v>
      </c>
      <c r="J960" t="s">
        <v>23</v>
      </c>
      <c r="K960" t="s">
        <v>289</v>
      </c>
      <c r="L960">
        <v>3</v>
      </c>
      <c r="M960">
        <v>165.33</v>
      </c>
      <c r="N960">
        <v>0.15</v>
      </c>
      <c r="O960">
        <v>495.99</v>
      </c>
      <c r="P960">
        <v>89.13</v>
      </c>
    </row>
    <row r="961" spans="1:16" x14ac:dyDescent="0.35">
      <c r="A961" t="s">
        <v>1285</v>
      </c>
      <c r="B961" s="1">
        <v>45069</v>
      </c>
      <c r="C961" s="1">
        <v>45071</v>
      </c>
      <c r="D961" t="s">
        <v>17</v>
      </c>
      <c r="E961" t="s">
        <v>447</v>
      </c>
      <c r="F961" t="s">
        <v>27</v>
      </c>
      <c r="G961" t="s">
        <v>20</v>
      </c>
      <c r="H961" t="s">
        <v>21</v>
      </c>
      <c r="I961" t="s">
        <v>52</v>
      </c>
      <c r="J961" t="s">
        <v>194</v>
      </c>
      <c r="K961" t="s">
        <v>306</v>
      </c>
      <c r="L961">
        <v>3</v>
      </c>
      <c r="M961">
        <v>417.23</v>
      </c>
      <c r="N961">
        <v>0.2</v>
      </c>
      <c r="O961">
        <v>1251.69</v>
      </c>
      <c r="P961">
        <v>-95.45</v>
      </c>
    </row>
    <row r="962" spans="1:16" x14ac:dyDescent="0.35">
      <c r="A962" t="s">
        <v>1286</v>
      </c>
      <c r="B962" s="1">
        <v>45392</v>
      </c>
      <c r="C962" s="1">
        <v>45395</v>
      </c>
      <c r="D962" t="s">
        <v>65</v>
      </c>
      <c r="E962" t="s">
        <v>281</v>
      </c>
      <c r="F962" t="s">
        <v>19</v>
      </c>
      <c r="G962" t="s">
        <v>61</v>
      </c>
      <c r="H962" t="s">
        <v>62</v>
      </c>
      <c r="I962" t="s">
        <v>22</v>
      </c>
      <c r="J962" t="s">
        <v>37</v>
      </c>
      <c r="K962" t="s">
        <v>38</v>
      </c>
      <c r="L962">
        <v>1</v>
      </c>
      <c r="M962">
        <v>310.51</v>
      </c>
      <c r="N962">
        <v>0.3</v>
      </c>
      <c r="O962">
        <v>310.51</v>
      </c>
      <c r="P962">
        <v>51.8</v>
      </c>
    </row>
    <row r="963" spans="1:16" x14ac:dyDescent="0.35">
      <c r="A963" t="s">
        <v>1287</v>
      </c>
      <c r="B963" s="1">
        <v>45601</v>
      </c>
      <c r="C963" s="1">
        <v>45606</v>
      </c>
      <c r="D963" t="s">
        <v>44</v>
      </c>
      <c r="E963" t="s">
        <v>567</v>
      </c>
      <c r="F963" t="s">
        <v>27</v>
      </c>
      <c r="G963" t="s">
        <v>90</v>
      </c>
      <c r="H963" t="s">
        <v>73</v>
      </c>
      <c r="I963" t="s">
        <v>30</v>
      </c>
      <c r="J963" t="s">
        <v>41</v>
      </c>
      <c r="K963" t="s">
        <v>42</v>
      </c>
      <c r="L963">
        <v>11</v>
      </c>
      <c r="M963">
        <v>193.67</v>
      </c>
      <c r="N963">
        <v>0.15</v>
      </c>
      <c r="O963">
        <v>2130.37</v>
      </c>
      <c r="P963">
        <v>124.19</v>
      </c>
    </row>
    <row r="964" spans="1:16" x14ac:dyDescent="0.35">
      <c r="A964" t="s">
        <v>1288</v>
      </c>
      <c r="B964" s="1">
        <v>45507</v>
      </c>
      <c r="C964" s="1">
        <v>45514</v>
      </c>
      <c r="D964" t="s">
        <v>59</v>
      </c>
      <c r="E964" t="s">
        <v>263</v>
      </c>
      <c r="F964" t="s">
        <v>35</v>
      </c>
      <c r="G964" t="s">
        <v>67</v>
      </c>
      <c r="H964" t="s">
        <v>21</v>
      </c>
      <c r="I964" t="s">
        <v>30</v>
      </c>
      <c r="J964" t="s">
        <v>41</v>
      </c>
      <c r="K964" t="s">
        <v>105</v>
      </c>
      <c r="L964">
        <v>10</v>
      </c>
      <c r="M964">
        <v>419.3</v>
      </c>
      <c r="N964">
        <v>0.15</v>
      </c>
      <c r="O964">
        <v>4193</v>
      </c>
      <c r="P964">
        <v>-424.22</v>
      </c>
    </row>
    <row r="965" spans="1:16" x14ac:dyDescent="0.35">
      <c r="A965" t="s">
        <v>1289</v>
      </c>
      <c r="B965" s="1">
        <v>45139</v>
      </c>
      <c r="C965" s="1">
        <v>45144</v>
      </c>
      <c r="D965" t="s">
        <v>17</v>
      </c>
      <c r="E965" t="s">
        <v>447</v>
      </c>
      <c r="F965" t="s">
        <v>19</v>
      </c>
      <c r="G965" t="s">
        <v>128</v>
      </c>
      <c r="H965" t="s">
        <v>129</v>
      </c>
      <c r="I965" t="s">
        <v>22</v>
      </c>
      <c r="J965" t="s">
        <v>23</v>
      </c>
      <c r="K965" t="s">
        <v>178</v>
      </c>
      <c r="L965">
        <v>11</v>
      </c>
      <c r="M965">
        <v>341.63</v>
      </c>
      <c r="N965">
        <v>0</v>
      </c>
      <c r="O965">
        <v>3757.93</v>
      </c>
      <c r="P965">
        <v>505.73</v>
      </c>
    </row>
    <row r="966" spans="1:16" x14ac:dyDescent="0.35">
      <c r="A966" t="s">
        <v>1290</v>
      </c>
      <c r="B966" s="1">
        <v>45031</v>
      </c>
      <c r="C966" s="1">
        <v>45036</v>
      </c>
      <c r="D966" t="s">
        <v>44</v>
      </c>
      <c r="E966" t="s">
        <v>708</v>
      </c>
      <c r="F966" t="s">
        <v>27</v>
      </c>
      <c r="G966" t="s">
        <v>132</v>
      </c>
      <c r="H966" t="s">
        <v>112</v>
      </c>
      <c r="I966" t="s">
        <v>30</v>
      </c>
      <c r="J966" t="s">
        <v>47</v>
      </c>
      <c r="K966" t="s">
        <v>63</v>
      </c>
      <c r="L966">
        <v>11</v>
      </c>
      <c r="M966">
        <v>696.31</v>
      </c>
      <c r="N966">
        <v>0</v>
      </c>
      <c r="O966">
        <v>7659.41</v>
      </c>
      <c r="P966">
        <v>-1019.55</v>
      </c>
    </row>
    <row r="967" spans="1:16" x14ac:dyDescent="0.35">
      <c r="A967" t="s">
        <v>1291</v>
      </c>
      <c r="B967" s="1">
        <v>45356</v>
      </c>
      <c r="C967" s="1">
        <v>45360</v>
      </c>
      <c r="D967" t="s">
        <v>17</v>
      </c>
      <c r="E967" t="s">
        <v>229</v>
      </c>
      <c r="F967" t="s">
        <v>27</v>
      </c>
      <c r="G967" t="s">
        <v>288</v>
      </c>
      <c r="H967" t="s">
        <v>129</v>
      </c>
      <c r="I967" t="s">
        <v>52</v>
      </c>
      <c r="J967" t="s">
        <v>53</v>
      </c>
      <c r="K967" t="s">
        <v>91</v>
      </c>
      <c r="L967">
        <v>10</v>
      </c>
      <c r="M967">
        <v>182.71</v>
      </c>
      <c r="N967">
        <v>0.2</v>
      </c>
      <c r="O967">
        <v>1827.1</v>
      </c>
      <c r="P967">
        <v>336.15</v>
      </c>
    </row>
    <row r="968" spans="1:16" x14ac:dyDescent="0.35">
      <c r="A968" t="s">
        <v>1292</v>
      </c>
      <c r="B968" s="1">
        <v>45167</v>
      </c>
      <c r="C968" s="1">
        <v>45174</v>
      </c>
      <c r="D968" t="s">
        <v>17</v>
      </c>
      <c r="E968" t="s">
        <v>283</v>
      </c>
      <c r="F968" t="s">
        <v>19</v>
      </c>
      <c r="G968" t="s">
        <v>90</v>
      </c>
      <c r="H968" t="s">
        <v>62</v>
      </c>
      <c r="I968" t="s">
        <v>22</v>
      </c>
      <c r="J968" t="s">
        <v>74</v>
      </c>
      <c r="K968" t="s">
        <v>75</v>
      </c>
      <c r="L968">
        <v>3</v>
      </c>
      <c r="M968">
        <v>131.81</v>
      </c>
      <c r="N968">
        <v>0.2</v>
      </c>
      <c r="O968">
        <v>395.43</v>
      </c>
      <c r="P968">
        <v>70.680000000000007</v>
      </c>
    </row>
    <row r="969" spans="1:16" x14ac:dyDescent="0.35">
      <c r="A969" t="s">
        <v>1293</v>
      </c>
      <c r="B969" s="1">
        <v>45418</v>
      </c>
      <c r="C969" s="1">
        <v>45425</v>
      </c>
      <c r="D969" t="s">
        <v>44</v>
      </c>
      <c r="E969" t="s">
        <v>574</v>
      </c>
      <c r="F969" t="s">
        <v>35</v>
      </c>
      <c r="G969" t="s">
        <v>61</v>
      </c>
      <c r="H969" t="s">
        <v>73</v>
      </c>
      <c r="I969" t="s">
        <v>52</v>
      </c>
      <c r="J969" t="s">
        <v>68</v>
      </c>
      <c r="K969" t="s">
        <v>216</v>
      </c>
      <c r="L969">
        <v>1</v>
      </c>
      <c r="M969">
        <v>491.46</v>
      </c>
      <c r="N969">
        <v>0</v>
      </c>
      <c r="O969">
        <v>491.46</v>
      </c>
      <c r="P969">
        <v>80.47</v>
      </c>
    </row>
    <row r="970" spans="1:16" x14ac:dyDescent="0.35">
      <c r="A970" t="s">
        <v>1294</v>
      </c>
      <c r="B970" s="1">
        <v>45412</v>
      </c>
      <c r="C970" s="1">
        <v>45416</v>
      </c>
      <c r="D970" t="s">
        <v>17</v>
      </c>
      <c r="E970" t="s">
        <v>351</v>
      </c>
      <c r="F970" t="s">
        <v>27</v>
      </c>
      <c r="G970" t="s">
        <v>20</v>
      </c>
      <c r="I970" t="s">
        <v>52</v>
      </c>
      <c r="J970" t="s">
        <v>160</v>
      </c>
      <c r="K970" t="s">
        <v>234</v>
      </c>
      <c r="L970">
        <v>6</v>
      </c>
      <c r="M970">
        <v>872.74</v>
      </c>
      <c r="N970">
        <v>0.15</v>
      </c>
      <c r="O970">
        <v>5236.4399999999996</v>
      </c>
      <c r="P970">
        <v>-782.83</v>
      </c>
    </row>
    <row r="971" spans="1:16" x14ac:dyDescent="0.35">
      <c r="A971" t="s">
        <v>1295</v>
      </c>
      <c r="B971" s="1">
        <v>44932</v>
      </c>
      <c r="C971" s="1">
        <v>44939</v>
      </c>
      <c r="D971" t="s">
        <v>17</v>
      </c>
      <c r="E971" t="s">
        <v>184</v>
      </c>
      <c r="F971" t="s">
        <v>35</v>
      </c>
      <c r="G971" t="s">
        <v>61</v>
      </c>
      <c r="H971" t="s">
        <v>73</v>
      </c>
      <c r="I971" t="s">
        <v>52</v>
      </c>
      <c r="J971" t="s">
        <v>68</v>
      </c>
      <c r="K971" t="s">
        <v>69</v>
      </c>
      <c r="L971">
        <v>12</v>
      </c>
      <c r="M971">
        <v>804.88</v>
      </c>
      <c r="N971">
        <v>0</v>
      </c>
      <c r="O971">
        <v>9658.56</v>
      </c>
      <c r="P971">
        <v>518.94000000000005</v>
      </c>
    </row>
    <row r="972" spans="1:16" x14ac:dyDescent="0.35">
      <c r="A972" t="s">
        <v>1296</v>
      </c>
      <c r="B972" s="1">
        <v>45351</v>
      </c>
      <c r="C972" s="1">
        <v>45355</v>
      </c>
      <c r="D972" t="s">
        <v>59</v>
      </c>
      <c r="E972" t="s">
        <v>562</v>
      </c>
      <c r="F972" t="s">
        <v>27</v>
      </c>
      <c r="G972" t="s">
        <v>67</v>
      </c>
      <c r="H972" t="s">
        <v>36</v>
      </c>
      <c r="I972" t="s">
        <v>52</v>
      </c>
      <c r="J972" t="s">
        <v>160</v>
      </c>
      <c r="K972" t="s">
        <v>234</v>
      </c>
      <c r="L972">
        <v>10</v>
      </c>
      <c r="M972">
        <v>851.73</v>
      </c>
      <c r="N972">
        <v>0</v>
      </c>
      <c r="O972">
        <v>8517.2999999999993</v>
      </c>
      <c r="P972">
        <v>2370.9299999999998</v>
      </c>
    </row>
    <row r="973" spans="1:16" x14ac:dyDescent="0.35">
      <c r="A973" t="s">
        <v>1297</v>
      </c>
      <c r="B973" s="1">
        <v>45422</v>
      </c>
      <c r="C973" s="1">
        <v>45424</v>
      </c>
      <c r="D973" t="s">
        <v>65</v>
      </c>
      <c r="E973" t="s">
        <v>681</v>
      </c>
      <c r="F973" t="s">
        <v>27</v>
      </c>
      <c r="G973" t="s">
        <v>86</v>
      </c>
      <c r="H973" t="s">
        <v>29</v>
      </c>
      <c r="I973" t="s">
        <v>30</v>
      </c>
      <c r="J973" t="s">
        <v>47</v>
      </c>
      <c r="K973" t="s">
        <v>63</v>
      </c>
      <c r="L973">
        <v>6</v>
      </c>
      <c r="M973">
        <v>434.42</v>
      </c>
      <c r="N973">
        <v>0.15</v>
      </c>
      <c r="O973">
        <v>2606.52</v>
      </c>
      <c r="P973">
        <v>825.88</v>
      </c>
    </row>
    <row r="974" spans="1:16" x14ac:dyDescent="0.35">
      <c r="A974" t="s">
        <v>1298</v>
      </c>
      <c r="B974" s="1">
        <v>45407</v>
      </c>
      <c r="C974" s="1">
        <v>45411</v>
      </c>
      <c r="D974" t="s">
        <v>59</v>
      </c>
      <c r="E974" t="s">
        <v>1299</v>
      </c>
      <c r="F974" t="s">
        <v>19</v>
      </c>
      <c r="G974" t="s">
        <v>181</v>
      </c>
      <c r="H974" t="s">
        <v>83</v>
      </c>
      <c r="I974" t="s">
        <v>52</v>
      </c>
      <c r="J974" t="s">
        <v>160</v>
      </c>
      <c r="K974" t="s">
        <v>161</v>
      </c>
      <c r="L974">
        <v>-12</v>
      </c>
      <c r="M974">
        <v>240.67</v>
      </c>
      <c r="N974">
        <v>0.15</v>
      </c>
      <c r="O974">
        <v>2888.04</v>
      </c>
      <c r="P974">
        <v>390.12</v>
      </c>
    </row>
    <row r="975" spans="1:16" x14ac:dyDescent="0.35">
      <c r="A975" t="s">
        <v>1300</v>
      </c>
      <c r="B975" s="1">
        <v>45230</v>
      </c>
      <c r="C975" s="1">
        <v>45233</v>
      </c>
      <c r="D975" t="s">
        <v>44</v>
      </c>
      <c r="E975" t="s">
        <v>373</v>
      </c>
      <c r="F975" t="s">
        <v>35</v>
      </c>
      <c r="G975" t="s">
        <v>111</v>
      </c>
      <c r="H975" t="s">
        <v>112</v>
      </c>
      <c r="I975" t="s">
        <v>30</v>
      </c>
      <c r="J975" t="s">
        <v>41</v>
      </c>
      <c r="K975" t="s">
        <v>124</v>
      </c>
      <c r="L975">
        <v>7</v>
      </c>
      <c r="M975">
        <v>665.99</v>
      </c>
      <c r="N975">
        <v>0</v>
      </c>
      <c r="O975">
        <v>4661.93</v>
      </c>
    </row>
    <row r="976" spans="1:16" x14ac:dyDescent="0.35">
      <c r="A976" t="s">
        <v>1301</v>
      </c>
      <c r="B976" s="1">
        <v>45501</v>
      </c>
      <c r="C976" s="1">
        <v>45506</v>
      </c>
      <c r="D976" t="s">
        <v>59</v>
      </c>
      <c r="F976" t="s">
        <v>27</v>
      </c>
      <c r="G976" t="s">
        <v>28</v>
      </c>
      <c r="H976" t="s">
        <v>159</v>
      </c>
      <c r="I976" t="s">
        <v>30</v>
      </c>
      <c r="J976" t="s">
        <v>99</v>
      </c>
      <c r="K976" t="s">
        <v>208</v>
      </c>
      <c r="L976">
        <v>10</v>
      </c>
      <c r="M976">
        <v>96.58</v>
      </c>
      <c r="N976">
        <v>0.3</v>
      </c>
      <c r="O976">
        <v>965.8</v>
      </c>
      <c r="P976">
        <v>107.36</v>
      </c>
    </row>
    <row r="977" spans="1:16" x14ac:dyDescent="0.35">
      <c r="A977" t="s">
        <v>1302</v>
      </c>
      <c r="B977" s="1">
        <v>45421</v>
      </c>
      <c r="C977" s="1">
        <v>45423</v>
      </c>
      <c r="D977" t="s">
        <v>44</v>
      </c>
      <c r="F977" t="s">
        <v>27</v>
      </c>
      <c r="G977" t="s">
        <v>211</v>
      </c>
      <c r="H977" t="s">
        <v>159</v>
      </c>
      <c r="I977" t="s">
        <v>22</v>
      </c>
      <c r="J977" t="s">
        <v>37</v>
      </c>
      <c r="K977" t="s">
        <v>38</v>
      </c>
      <c r="L977">
        <v>5</v>
      </c>
      <c r="M977">
        <v>215.07</v>
      </c>
      <c r="N977">
        <v>0.15</v>
      </c>
      <c r="O977">
        <v>1075.3499999999999</v>
      </c>
      <c r="P977">
        <v>-136.01</v>
      </c>
    </row>
    <row r="978" spans="1:16" x14ac:dyDescent="0.35">
      <c r="A978" t="s">
        <v>1303</v>
      </c>
      <c r="B978" s="1">
        <v>45523</v>
      </c>
      <c r="C978" s="1">
        <v>45525</v>
      </c>
      <c r="D978" t="s">
        <v>59</v>
      </c>
      <c r="E978" t="s">
        <v>301</v>
      </c>
      <c r="F978" t="s">
        <v>35</v>
      </c>
      <c r="G978" t="s">
        <v>51</v>
      </c>
      <c r="H978" t="s">
        <v>21</v>
      </c>
      <c r="I978" t="s">
        <v>30</v>
      </c>
      <c r="J978" t="s">
        <v>31</v>
      </c>
      <c r="K978" t="s">
        <v>57</v>
      </c>
      <c r="L978">
        <v>1</v>
      </c>
      <c r="M978">
        <v>385.27</v>
      </c>
      <c r="N978">
        <v>0</v>
      </c>
      <c r="O978">
        <v>385.27</v>
      </c>
      <c r="P978">
        <v>33.950000000000003</v>
      </c>
    </row>
    <row r="979" spans="1:16" x14ac:dyDescent="0.35">
      <c r="A979" t="s">
        <v>1304</v>
      </c>
      <c r="B979" s="1">
        <v>44939</v>
      </c>
      <c r="C979" s="1">
        <v>44941</v>
      </c>
      <c r="D979" t="s">
        <v>17</v>
      </c>
      <c r="E979" t="s">
        <v>465</v>
      </c>
      <c r="F979" t="s">
        <v>27</v>
      </c>
      <c r="G979" t="s">
        <v>332</v>
      </c>
      <c r="H979" t="s">
        <v>46</v>
      </c>
      <c r="I979" t="s">
        <v>52</v>
      </c>
      <c r="J979" t="s">
        <v>194</v>
      </c>
      <c r="K979" t="s">
        <v>361</v>
      </c>
      <c r="L979">
        <v>12</v>
      </c>
      <c r="M979">
        <v>667.9</v>
      </c>
      <c r="N979">
        <v>0.1</v>
      </c>
      <c r="O979">
        <v>8014.8</v>
      </c>
      <c r="P979">
        <v>-302.5</v>
      </c>
    </row>
    <row r="980" spans="1:16" x14ac:dyDescent="0.35">
      <c r="A980" t="s">
        <v>1305</v>
      </c>
      <c r="B980" s="1">
        <v>45277</v>
      </c>
      <c r="C980" s="1">
        <v>45283</v>
      </c>
      <c r="D980" t="s">
        <v>65</v>
      </c>
      <c r="E980" t="s">
        <v>383</v>
      </c>
      <c r="F980" t="s">
        <v>19</v>
      </c>
      <c r="G980" t="s">
        <v>72</v>
      </c>
      <c r="H980" t="s">
        <v>73</v>
      </c>
      <c r="I980" t="s">
        <v>30</v>
      </c>
      <c r="J980" t="s">
        <v>99</v>
      </c>
      <c r="K980" t="s">
        <v>247</v>
      </c>
      <c r="L980">
        <v>5</v>
      </c>
      <c r="M980">
        <v>291.41000000000003</v>
      </c>
      <c r="N980">
        <v>0.15</v>
      </c>
      <c r="O980">
        <v>1457.05</v>
      </c>
      <c r="P980">
        <v>125.22</v>
      </c>
    </row>
    <row r="981" spans="1:16" x14ac:dyDescent="0.35">
      <c r="A981" t="s">
        <v>1306</v>
      </c>
      <c r="B981" s="1">
        <v>45578</v>
      </c>
      <c r="C981" s="1">
        <v>45581</v>
      </c>
      <c r="D981" t="s">
        <v>65</v>
      </c>
      <c r="E981" t="s">
        <v>422</v>
      </c>
      <c r="F981" t="s">
        <v>19</v>
      </c>
      <c r="G981" t="s">
        <v>82</v>
      </c>
      <c r="H981" t="s">
        <v>46</v>
      </c>
      <c r="I981" t="s">
        <v>22</v>
      </c>
      <c r="J981" t="s">
        <v>74</v>
      </c>
      <c r="K981" t="s">
        <v>253</v>
      </c>
      <c r="L981">
        <v>2</v>
      </c>
      <c r="M981">
        <v>540.89</v>
      </c>
      <c r="N981">
        <v>0</v>
      </c>
      <c r="O981">
        <v>1081.78</v>
      </c>
      <c r="P981">
        <v>131.82</v>
      </c>
    </row>
    <row r="982" spans="1:16" x14ac:dyDescent="0.35">
      <c r="A982" t="s">
        <v>1307</v>
      </c>
      <c r="B982" s="1">
        <v>45257</v>
      </c>
      <c r="C982" s="1">
        <v>45264</v>
      </c>
      <c r="D982" t="s">
        <v>44</v>
      </c>
      <c r="E982" t="s">
        <v>406</v>
      </c>
      <c r="F982" t="s">
        <v>35</v>
      </c>
      <c r="G982" t="s">
        <v>51</v>
      </c>
      <c r="H982" t="s">
        <v>21</v>
      </c>
      <c r="I982" t="s">
        <v>22</v>
      </c>
      <c r="J982" t="s">
        <v>37</v>
      </c>
      <c r="K982" t="s">
        <v>144</v>
      </c>
      <c r="L982">
        <v>2</v>
      </c>
      <c r="M982">
        <v>565.42999999999995</v>
      </c>
      <c r="O982">
        <v>1130.8599999999999</v>
      </c>
      <c r="P982">
        <v>90.23</v>
      </c>
    </row>
    <row r="983" spans="1:16" x14ac:dyDescent="0.35">
      <c r="A983" t="s">
        <v>715</v>
      </c>
      <c r="B983" s="1">
        <v>45317</v>
      </c>
      <c r="C983" s="1">
        <v>45320</v>
      </c>
      <c r="D983" t="s">
        <v>59</v>
      </c>
      <c r="E983" t="s">
        <v>403</v>
      </c>
      <c r="F983" t="s">
        <v>35</v>
      </c>
      <c r="G983" t="s">
        <v>107</v>
      </c>
      <c r="H983" t="s">
        <v>123</v>
      </c>
      <c r="I983" t="s">
        <v>22</v>
      </c>
      <c r="J983" t="s">
        <v>23</v>
      </c>
      <c r="K983" t="s">
        <v>178</v>
      </c>
      <c r="L983">
        <v>1</v>
      </c>
      <c r="M983">
        <v>229.1</v>
      </c>
      <c r="N983">
        <v>0.15</v>
      </c>
      <c r="O983">
        <v>229.1</v>
      </c>
      <c r="P983">
        <v>72.400000000000006</v>
      </c>
    </row>
    <row r="984" spans="1:16" x14ac:dyDescent="0.35">
      <c r="A984" t="s">
        <v>1308</v>
      </c>
      <c r="B984" s="1">
        <v>45115</v>
      </c>
      <c r="C984" s="1">
        <v>45121</v>
      </c>
      <c r="D984" t="s">
        <v>17</v>
      </c>
      <c r="F984" t="s">
        <v>19</v>
      </c>
      <c r="G984" t="s">
        <v>67</v>
      </c>
      <c r="H984" t="s">
        <v>21</v>
      </c>
      <c r="I984" t="s">
        <v>52</v>
      </c>
      <c r="J984" t="s">
        <v>160</v>
      </c>
      <c r="K984" t="s">
        <v>234</v>
      </c>
      <c r="L984">
        <v>5</v>
      </c>
      <c r="M984">
        <v>555.95000000000005</v>
      </c>
      <c r="N984">
        <v>0.15</v>
      </c>
      <c r="O984">
        <v>2779.75</v>
      </c>
      <c r="P984">
        <v>770.33</v>
      </c>
    </row>
    <row r="985" spans="1:16" x14ac:dyDescent="0.35">
      <c r="A985" t="s">
        <v>1309</v>
      </c>
      <c r="B985" s="1">
        <v>45486</v>
      </c>
      <c r="C985" s="1">
        <v>45491</v>
      </c>
      <c r="D985" t="s">
        <v>65</v>
      </c>
      <c r="E985" t="s">
        <v>574</v>
      </c>
      <c r="F985" t="s">
        <v>27</v>
      </c>
      <c r="G985" t="s">
        <v>51</v>
      </c>
      <c r="H985" t="s">
        <v>36</v>
      </c>
      <c r="I985" t="s">
        <v>30</v>
      </c>
      <c r="J985" t="s">
        <v>99</v>
      </c>
      <c r="K985" t="s">
        <v>100</v>
      </c>
      <c r="L985">
        <v>7</v>
      </c>
      <c r="M985">
        <v>497.69</v>
      </c>
      <c r="N985">
        <v>0</v>
      </c>
      <c r="O985">
        <v>3483.83</v>
      </c>
      <c r="P985">
        <v>1030.49</v>
      </c>
    </row>
    <row r="986" spans="1:16" x14ac:dyDescent="0.35">
      <c r="A986" t="s">
        <v>1310</v>
      </c>
      <c r="B986" s="1">
        <v>45141</v>
      </c>
      <c r="C986" s="1">
        <v>45148</v>
      </c>
      <c r="D986" t="s">
        <v>65</v>
      </c>
      <c r="E986" t="s">
        <v>737</v>
      </c>
      <c r="F986" t="s">
        <v>35</v>
      </c>
      <c r="G986" t="s">
        <v>51</v>
      </c>
      <c r="H986" t="s">
        <v>36</v>
      </c>
      <c r="I986" t="s">
        <v>30</v>
      </c>
      <c r="J986" t="s">
        <v>31</v>
      </c>
      <c r="K986" t="s">
        <v>32</v>
      </c>
      <c r="L986">
        <v>3</v>
      </c>
      <c r="M986">
        <v>669.06</v>
      </c>
      <c r="N986">
        <v>0.3</v>
      </c>
      <c r="O986">
        <v>2007.18</v>
      </c>
      <c r="P986">
        <v>369.99</v>
      </c>
    </row>
    <row r="987" spans="1:16" x14ac:dyDescent="0.35">
      <c r="A987" t="s">
        <v>1311</v>
      </c>
      <c r="B987" s="1">
        <v>45055</v>
      </c>
      <c r="C987" s="1">
        <v>45057</v>
      </c>
      <c r="D987" t="s">
        <v>17</v>
      </c>
      <c r="E987" t="s">
        <v>681</v>
      </c>
      <c r="F987" t="s">
        <v>35</v>
      </c>
      <c r="G987" t="s">
        <v>107</v>
      </c>
      <c r="H987" t="s">
        <v>123</v>
      </c>
      <c r="I987" t="s">
        <v>30</v>
      </c>
      <c r="J987" t="s">
        <v>99</v>
      </c>
      <c r="K987" t="s">
        <v>100</v>
      </c>
      <c r="L987">
        <v>11</v>
      </c>
      <c r="M987">
        <v>134.91</v>
      </c>
      <c r="N987">
        <v>0</v>
      </c>
      <c r="O987">
        <v>1484.01</v>
      </c>
      <c r="P987">
        <v>100.76</v>
      </c>
    </row>
    <row r="988" spans="1:16" x14ac:dyDescent="0.35">
      <c r="A988" t="s">
        <v>1312</v>
      </c>
      <c r="B988" s="1">
        <v>45115</v>
      </c>
      <c r="C988" s="1">
        <v>45116</v>
      </c>
      <c r="D988" t="s">
        <v>17</v>
      </c>
      <c r="E988" t="s">
        <v>233</v>
      </c>
      <c r="F988" t="s">
        <v>35</v>
      </c>
      <c r="G988" t="s">
        <v>211</v>
      </c>
      <c r="H988" t="s">
        <v>159</v>
      </c>
      <c r="I988" t="s">
        <v>22</v>
      </c>
      <c r="J988" t="s">
        <v>37</v>
      </c>
      <c r="K988" t="s">
        <v>144</v>
      </c>
      <c r="L988">
        <v>5</v>
      </c>
      <c r="M988">
        <v>638.89</v>
      </c>
      <c r="N988">
        <v>0.15</v>
      </c>
      <c r="O988">
        <v>3194.45</v>
      </c>
      <c r="P988">
        <v>-288.93</v>
      </c>
    </row>
    <row r="989" spans="1:16" x14ac:dyDescent="0.35">
      <c r="A989" t="s">
        <v>536</v>
      </c>
      <c r="B989" s="1">
        <v>45425</v>
      </c>
      <c r="C989" s="1">
        <v>45428</v>
      </c>
      <c r="D989" t="s">
        <v>65</v>
      </c>
      <c r="E989" t="s">
        <v>93</v>
      </c>
      <c r="F989" t="s">
        <v>27</v>
      </c>
      <c r="G989" t="s">
        <v>103</v>
      </c>
      <c r="H989" t="s">
        <v>62</v>
      </c>
      <c r="I989" t="s">
        <v>30</v>
      </c>
      <c r="J989" t="s">
        <v>31</v>
      </c>
      <c r="K989" t="s">
        <v>87</v>
      </c>
      <c r="L989">
        <v>11</v>
      </c>
      <c r="M989">
        <v>554.9</v>
      </c>
      <c r="N989">
        <v>0.1</v>
      </c>
      <c r="O989">
        <v>6103.9</v>
      </c>
      <c r="P989">
        <v>2112.67</v>
      </c>
    </row>
    <row r="990" spans="1:16" x14ac:dyDescent="0.35">
      <c r="A990" t="s">
        <v>1313</v>
      </c>
      <c r="B990" s="1">
        <v>45631</v>
      </c>
      <c r="C990" s="1">
        <v>45634</v>
      </c>
      <c r="D990" t="s">
        <v>59</v>
      </c>
      <c r="E990" t="s">
        <v>295</v>
      </c>
      <c r="F990" t="s">
        <v>19</v>
      </c>
      <c r="G990" t="s">
        <v>61</v>
      </c>
      <c r="H990" t="s">
        <v>73</v>
      </c>
      <c r="I990" t="s">
        <v>22</v>
      </c>
      <c r="J990" t="s">
        <v>115</v>
      </c>
      <c r="K990" t="s">
        <v>133</v>
      </c>
      <c r="L990">
        <v>5</v>
      </c>
      <c r="M990">
        <v>757.42</v>
      </c>
      <c r="N990">
        <v>0</v>
      </c>
      <c r="O990">
        <v>3787.1</v>
      </c>
      <c r="P990">
        <v>696.78</v>
      </c>
    </row>
    <row r="991" spans="1:16" x14ac:dyDescent="0.35">
      <c r="A991" t="s">
        <v>1314</v>
      </c>
      <c r="B991" s="1">
        <v>45462</v>
      </c>
      <c r="C991" s="1">
        <v>45466</v>
      </c>
      <c r="D991" t="s">
        <v>17</v>
      </c>
      <c r="E991" t="s">
        <v>71</v>
      </c>
      <c r="F991" t="s">
        <v>35</v>
      </c>
      <c r="G991" t="s">
        <v>61</v>
      </c>
      <c r="H991" t="s">
        <v>73</v>
      </c>
      <c r="I991" t="s">
        <v>52</v>
      </c>
      <c r="J991" t="s">
        <v>68</v>
      </c>
      <c r="K991" t="s">
        <v>69</v>
      </c>
      <c r="L991">
        <v>9</v>
      </c>
      <c r="M991">
        <v>516.24</v>
      </c>
      <c r="N991">
        <v>0.15</v>
      </c>
      <c r="O991">
        <v>4646.16</v>
      </c>
    </row>
    <row r="992" spans="1:16" x14ac:dyDescent="0.35">
      <c r="A992" t="s">
        <v>1315</v>
      </c>
      <c r="B992" s="1">
        <v>45432</v>
      </c>
      <c r="C992" s="1">
        <v>45434</v>
      </c>
      <c r="D992" t="s">
        <v>59</v>
      </c>
      <c r="E992" t="s">
        <v>326</v>
      </c>
      <c r="F992" t="s">
        <v>35</v>
      </c>
      <c r="G992" t="s">
        <v>51</v>
      </c>
      <c r="H992" t="s">
        <v>36</v>
      </c>
      <c r="I992" t="s">
        <v>52</v>
      </c>
      <c r="J992" t="s">
        <v>68</v>
      </c>
      <c r="K992" t="s">
        <v>216</v>
      </c>
      <c r="L992">
        <v>2</v>
      </c>
      <c r="M992">
        <v>759.97</v>
      </c>
      <c r="N992">
        <v>0</v>
      </c>
      <c r="O992">
        <v>1519.94</v>
      </c>
      <c r="P992">
        <v>-185.4</v>
      </c>
    </row>
    <row r="993" spans="1:16" x14ac:dyDescent="0.35">
      <c r="A993" t="s">
        <v>1316</v>
      </c>
      <c r="B993" s="1">
        <v>45073</v>
      </c>
      <c r="C993" s="1">
        <v>45075</v>
      </c>
      <c r="D993" t="s">
        <v>44</v>
      </c>
      <c r="E993" t="s">
        <v>410</v>
      </c>
      <c r="F993" t="s">
        <v>27</v>
      </c>
      <c r="G993" t="s">
        <v>61</v>
      </c>
      <c r="H993" t="s">
        <v>73</v>
      </c>
      <c r="I993" t="s">
        <v>52</v>
      </c>
      <c r="J993" t="s">
        <v>68</v>
      </c>
      <c r="K993" t="s">
        <v>69</v>
      </c>
      <c r="L993">
        <v>1</v>
      </c>
      <c r="M993">
        <v>114.48</v>
      </c>
      <c r="N993">
        <v>0</v>
      </c>
      <c r="O993">
        <v>114.48</v>
      </c>
      <c r="P993">
        <v>-13.3</v>
      </c>
    </row>
    <row r="994" spans="1:16" x14ac:dyDescent="0.35">
      <c r="A994" t="s">
        <v>1317</v>
      </c>
      <c r="B994" s="1">
        <v>45603</v>
      </c>
      <c r="C994" s="1">
        <v>45609</v>
      </c>
      <c r="D994" t="s">
        <v>59</v>
      </c>
      <c r="E994" t="s">
        <v>1318</v>
      </c>
      <c r="F994" t="s">
        <v>19</v>
      </c>
      <c r="G994" t="s">
        <v>72</v>
      </c>
      <c r="H994" t="s">
        <v>62</v>
      </c>
      <c r="I994" t="s">
        <v>22</v>
      </c>
      <c r="J994" t="s">
        <v>115</v>
      </c>
      <c r="K994" t="s">
        <v>147</v>
      </c>
      <c r="L994">
        <v>6</v>
      </c>
      <c r="M994">
        <v>334.87</v>
      </c>
      <c r="N994">
        <v>0.1</v>
      </c>
      <c r="O994">
        <v>2009.22</v>
      </c>
      <c r="P994">
        <v>522.66</v>
      </c>
    </row>
    <row r="995" spans="1:16" x14ac:dyDescent="0.35">
      <c r="A995" t="s">
        <v>1319</v>
      </c>
      <c r="B995" s="1">
        <v>45563</v>
      </c>
      <c r="C995" s="1">
        <v>45570</v>
      </c>
      <c r="D995" t="s">
        <v>65</v>
      </c>
      <c r="E995" t="s">
        <v>204</v>
      </c>
      <c r="F995" t="s">
        <v>35</v>
      </c>
      <c r="G995" t="s">
        <v>82</v>
      </c>
      <c r="H995" t="s">
        <v>46</v>
      </c>
      <c r="I995" t="s">
        <v>52</v>
      </c>
      <c r="J995" t="s">
        <v>160</v>
      </c>
      <c r="K995" t="s">
        <v>161</v>
      </c>
      <c r="L995">
        <v>1</v>
      </c>
      <c r="M995">
        <v>44.51</v>
      </c>
      <c r="N995">
        <v>0</v>
      </c>
      <c r="O995">
        <v>44.51</v>
      </c>
      <c r="P995">
        <v>-6.61</v>
      </c>
    </row>
    <row r="996" spans="1:16" x14ac:dyDescent="0.35">
      <c r="A996" t="s">
        <v>1320</v>
      </c>
      <c r="B996" s="1">
        <v>45605</v>
      </c>
      <c r="C996" s="1">
        <v>45611</v>
      </c>
      <c r="D996" t="s">
        <v>59</v>
      </c>
      <c r="E996" t="s">
        <v>314</v>
      </c>
      <c r="F996" t="s">
        <v>27</v>
      </c>
      <c r="G996" t="s">
        <v>28</v>
      </c>
      <c r="H996" t="s">
        <v>159</v>
      </c>
      <c r="I996" t="s">
        <v>30</v>
      </c>
      <c r="J996" t="s">
        <v>99</v>
      </c>
      <c r="K996" t="s">
        <v>154</v>
      </c>
      <c r="L996">
        <v>9</v>
      </c>
      <c r="M996">
        <v>298</v>
      </c>
      <c r="N996">
        <v>0.2</v>
      </c>
      <c r="O996">
        <v>2682</v>
      </c>
      <c r="P996">
        <v>-58.33</v>
      </c>
    </row>
    <row r="997" spans="1:16" x14ac:dyDescent="0.35">
      <c r="A997" t="s">
        <v>1321</v>
      </c>
      <c r="B997" s="1">
        <v>45323</v>
      </c>
      <c r="C997" s="1">
        <v>45330</v>
      </c>
      <c r="D997" t="s">
        <v>44</v>
      </c>
      <c r="E997" t="s">
        <v>171</v>
      </c>
      <c r="F997" t="s">
        <v>27</v>
      </c>
      <c r="G997" t="s">
        <v>61</v>
      </c>
      <c r="H997" t="s">
        <v>62</v>
      </c>
      <c r="I997" t="s">
        <v>22</v>
      </c>
      <c r="J997" t="s">
        <v>23</v>
      </c>
      <c r="K997" t="s">
        <v>24</v>
      </c>
      <c r="L997">
        <v>10</v>
      </c>
      <c r="M997">
        <v>65.44</v>
      </c>
      <c r="N997">
        <v>0</v>
      </c>
      <c r="O997">
        <v>654.4</v>
      </c>
      <c r="P997">
        <v>-27.57</v>
      </c>
    </row>
    <row r="998" spans="1:16" x14ac:dyDescent="0.35">
      <c r="A998" t="s">
        <v>1322</v>
      </c>
      <c r="B998" s="1">
        <v>45349</v>
      </c>
      <c r="C998" s="1">
        <v>45355</v>
      </c>
      <c r="D998" t="s">
        <v>59</v>
      </c>
      <c r="E998" t="s">
        <v>231</v>
      </c>
      <c r="F998" t="s">
        <v>19</v>
      </c>
      <c r="G998" t="s">
        <v>72</v>
      </c>
      <c r="H998" t="s">
        <v>73</v>
      </c>
      <c r="I998" t="s">
        <v>30</v>
      </c>
      <c r="J998" t="s">
        <v>99</v>
      </c>
      <c r="K998" t="s">
        <v>208</v>
      </c>
      <c r="L998">
        <v>3</v>
      </c>
      <c r="M998">
        <v>605.53</v>
      </c>
      <c r="N998">
        <v>0.15</v>
      </c>
      <c r="O998">
        <v>1816.59</v>
      </c>
      <c r="P998">
        <v>501.61</v>
      </c>
    </row>
    <row r="999" spans="1:16" x14ac:dyDescent="0.35">
      <c r="A999" t="s">
        <v>1323</v>
      </c>
      <c r="B999" s="1">
        <v>45623</v>
      </c>
      <c r="C999" s="1">
        <v>45627</v>
      </c>
      <c r="D999" t="s">
        <v>59</v>
      </c>
      <c r="E999" t="s">
        <v>342</v>
      </c>
      <c r="F999" t="s">
        <v>19</v>
      </c>
      <c r="G999" t="s">
        <v>90</v>
      </c>
      <c r="H999" t="s">
        <v>62</v>
      </c>
      <c r="I999" t="s">
        <v>22</v>
      </c>
      <c r="J999" t="s">
        <v>23</v>
      </c>
      <c r="K999" t="s">
        <v>24</v>
      </c>
      <c r="L999">
        <v>2</v>
      </c>
      <c r="M999">
        <v>471.74</v>
      </c>
      <c r="N999">
        <v>0</v>
      </c>
      <c r="O999">
        <v>943.48</v>
      </c>
      <c r="P999">
        <v>209.04</v>
      </c>
    </row>
    <row r="1000" spans="1:16" x14ac:dyDescent="0.35">
      <c r="A1000" t="s">
        <v>1324</v>
      </c>
      <c r="B1000" s="1">
        <v>45563</v>
      </c>
      <c r="C1000" s="1">
        <v>45566</v>
      </c>
      <c r="D1000" t="s">
        <v>44</v>
      </c>
      <c r="E1000" t="s">
        <v>505</v>
      </c>
      <c r="F1000" t="s">
        <v>35</v>
      </c>
      <c r="G1000" t="s">
        <v>51</v>
      </c>
      <c r="H1000" t="s">
        <v>21</v>
      </c>
      <c r="I1000" t="s">
        <v>22</v>
      </c>
      <c r="J1000" t="s">
        <v>74</v>
      </c>
      <c r="K1000" t="s">
        <v>75</v>
      </c>
      <c r="L1000">
        <v>9</v>
      </c>
      <c r="M1000">
        <v>37.36</v>
      </c>
      <c r="N1000">
        <v>0.3</v>
      </c>
      <c r="O1000">
        <v>336.24</v>
      </c>
      <c r="P1000">
        <v>41.69</v>
      </c>
    </row>
    <row r="1001" spans="1:16" x14ac:dyDescent="0.35">
      <c r="A1001" t="s">
        <v>1325</v>
      </c>
      <c r="B1001" s="1">
        <v>45190</v>
      </c>
      <c r="C1001" s="1">
        <v>45197</v>
      </c>
      <c r="D1001" t="s">
        <v>65</v>
      </c>
      <c r="E1001" t="s">
        <v>574</v>
      </c>
      <c r="F1001" t="s">
        <v>35</v>
      </c>
      <c r="G1001" t="s">
        <v>128</v>
      </c>
      <c r="H1001" t="s">
        <v>129</v>
      </c>
      <c r="I1001" t="s">
        <v>30</v>
      </c>
      <c r="J1001" t="s">
        <v>31</v>
      </c>
      <c r="K1001" t="s">
        <v>32</v>
      </c>
      <c r="L1001">
        <v>11</v>
      </c>
      <c r="M1001">
        <v>653.16999999999996</v>
      </c>
      <c r="N1001">
        <v>0.1</v>
      </c>
      <c r="O1001">
        <v>7184.87</v>
      </c>
      <c r="P1001">
        <v>2397.12</v>
      </c>
    </row>
    <row r="1002" spans="1:16" x14ac:dyDescent="0.35">
      <c r="A1002" t="s">
        <v>1326</v>
      </c>
      <c r="B1002" s="1">
        <v>45098</v>
      </c>
      <c r="C1002" s="1">
        <v>45099</v>
      </c>
      <c r="D1002" t="s">
        <v>17</v>
      </c>
      <c r="E1002" t="s">
        <v>478</v>
      </c>
      <c r="F1002" t="s">
        <v>35</v>
      </c>
      <c r="G1002" t="s">
        <v>111</v>
      </c>
      <c r="H1002" t="s">
        <v>129</v>
      </c>
      <c r="I1002" t="s">
        <v>52</v>
      </c>
      <c r="J1002" t="s">
        <v>53</v>
      </c>
      <c r="K1002" t="s">
        <v>54</v>
      </c>
      <c r="L1002">
        <v>9</v>
      </c>
      <c r="M1002">
        <v>358.58</v>
      </c>
      <c r="N1002">
        <v>0.1</v>
      </c>
      <c r="O1002">
        <v>3227.22</v>
      </c>
      <c r="P1002">
        <v>-289.14999999999998</v>
      </c>
    </row>
    <row r="1003" spans="1:16" x14ac:dyDescent="0.35">
      <c r="A1003" t="s">
        <v>1327</v>
      </c>
      <c r="B1003" s="1">
        <v>45375</v>
      </c>
      <c r="C1003" s="1">
        <v>45376</v>
      </c>
      <c r="D1003" t="s">
        <v>17</v>
      </c>
      <c r="E1003" t="s">
        <v>847</v>
      </c>
      <c r="F1003" t="s">
        <v>27</v>
      </c>
      <c r="G1003" t="s">
        <v>128</v>
      </c>
      <c r="H1003" t="s">
        <v>112</v>
      </c>
      <c r="I1003" t="s">
        <v>52</v>
      </c>
      <c r="J1003" t="s">
        <v>53</v>
      </c>
      <c r="K1003" t="s">
        <v>91</v>
      </c>
      <c r="L1003">
        <v>9</v>
      </c>
      <c r="M1003">
        <v>219.06</v>
      </c>
      <c r="N1003">
        <v>0.3</v>
      </c>
      <c r="O1003">
        <v>1971.54</v>
      </c>
      <c r="P1003">
        <v>477.48</v>
      </c>
    </row>
    <row r="1004" spans="1:16" x14ac:dyDescent="0.35">
      <c r="A1004" t="s">
        <v>1328</v>
      </c>
      <c r="B1004" s="1">
        <v>45050</v>
      </c>
      <c r="C1004" s="1">
        <v>45056</v>
      </c>
      <c r="D1004" t="s">
        <v>59</v>
      </c>
      <c r="E1004" t="s">
        <v>395</v>
      </c>
      <c r="F1004" t="s">
        <v>35</v>
      </c>
      <c r="G1004" t="s">
        <v>332</v>
      </c>
      <c r="H1004" t="s">
        <v>123</v>
      </c>
      <c r="I1004" t="s">
        <v>30</v>
      </c>
      <c r="J1004" t="s">
        <v>41</v>
      </c>
      <c r="K1004" t="s">
        <v>42</v>
      </c>
      <c r="L1004">
        <v>10</v>
      </c>
      <c r="M1004">
        <v>626.95000000000005</v>
      </c>
      <c r="N1004">
        <v>0</v>
      </c>
      <c r="O1004">
        <v>6269.5</v>
      </c>
      <c r="P1004">
        <v>-93.83</v>
      </c>
    </row>
    <row r="1005" spans="1:16" x14ac:dyDescent="0.35">
      <c r="A1005" t="s">
        <v>1329</v>
      </c>
      <c r="B1005" s="1">
        <v>45196</v>
      </c>
      <c r="C1005" s="1">
        <v>45202</v>
      </c>
      <c r="D1005" t="s">
        <v>59</v>
      </c>
      <c r="E1005" t="s">
        <v>941</v>
      </c>
      <c r="F1005" t="s">
        <v>19</v>
      </c>
      <c r="G1005" t="s">
        <v>51</v>
      </c>
      <c r="H1005" t="s">
        <v>36</v>
      </c>
      <c r="I1005" t="s">
        <v>22</v>
      </c>
      <c r="J1005" t="s">
        <v>23</v>
      </c>
      <c r="K1005" t="s">
        <v>178</v>
      </c>
      <c r="L1005">
        <v>3</v>
      </c>
      <c r="M1005">
        <v>82.31</v>
      </c>
      <c r="N1005">
        <v>0</v>
      </c>
      <c r="O1005">
        <v>246.93</v>
      </c>
      <c r="P1005">
        <v>45.02</v>
      </c>
    </row>
    <row r="1006" spans="1:16" x14ac:dyDescent="0.35">
      <c r="A1006" t="s">
        <v>1330</v>
      </c>
      <c r="B1006" s="1">
        <v>44982</v>
      </c>
      <c r="C1006" s="1">
        <v>44987</v>
      </c>
      <c r="D1006" t="s">
        <v>44</v>
      </c>
      <c r="E1006" t="s">
        <v>351</v>
      </c>
      <c r="F1006" t="s">
        <v>27</v>
      </c>
      <c r="G1006" t="s">
        <v>67</v>
      </c>
      <c r="H1006" t="s">
        <v>21</v>
      </c>
      <c r="I1006" t="s">
        <v>22</v>
      </c>
      <c r="J1006" t="s">
        <v>37</v>
      </c>
      <c r="K1006" t="s">
        <v>38</v>
      </c>
      <c r="L1006">
        <v>5</v>
      </c>
      <c r="M1006">
        <v>425.11</v>
      </c>
      <c r="N1006">
        <v>0.1</v>
      </c>
      <c r="O1006">
        <v>2125.5500000000002</v>
      </c>
      <c r="P1006">
        <v>43.26</v>
      </c>
    </row>
    <row r="1007" spans="1:16" x14ac:dyDescent="0.35">
      <c r="A1007" t="s">
        <v>1331</v>
      </c>
      <c r="B1007" s="1">
        <v>45095</v>
      </c>
      <c r="C1007" s="1">
        <v>45099</v>
      </c>
      <c r="D1007" t="s">
        <v>44</v>
      </c>
      <c r="E1007" t="s">
        <v>386</v>
      </c>
      <c r="F1007" t="s">
        <v>19</v>
      </c>
      <c r="G1007" t="s">
        <v>332</v>
      </c>
      <c r="H1007" t="s">
        <v>46</v>
      </c>
      <c r="I1007" t="s">
        <v>52</v>
      </c>
      <c r="J1007" t="s">
        <v>68</v>
      </c>
      <c r="K1007" t="s">
        <v>216</v>
      </c>
      <c r="L1007">
        <v>3</v>
      </c>
      <c r="M1007">
        <v>174.96</v>
      </c>
      <c r="N1007">
        <v>0</v>
      </c>
      <c r="O1007">
        <v>524.88</v>
      </c>
      <c r="P1007">
        <v>175.5</v>
      </c>
    </row>
    <row r="1008" spans="1:16" x14ac:dyDescent="0.35">
      <c r="A1008" t="s">
        <v>783</v>
      </c>
      <c r="B1008" s="1">
        <v>45107</v>
      </c>
      <c r="C1008" s="1">
        <v>45109</v>
      </c>
      <c r="D1008" t="s">
        <v>44</v>
      </c>
      <c r="E1008" t="s">
        <v>784</v>
      </c>
      <c r="F1008" t="s">
        <v>19</v>
      </c>
      <c r="G1008" t="s">
        <v>181</v>
      </c>
      <c r="H1008" t="s">
        <v>83</v>
      </c>
      <c r="I1008" t="s">
        <v>52</v>
      </c>
      <c r="J1008" t="s">
        <v>68</v>
      </c>
      <c r="K1008" t="s">
        <v>69</v>
      </c>
      <c r="L1008">
        <v>6</v>
      </c>
      <c r="M1008">
        <v>557.04999999999995</v>
      </c>
      <c r="N1008">
        <v>0.3</v>
      </c>
      <c r="O1008">
        <v>3342.3</v>
      </c>
      <c r="P1008">
        <v>255.93</v>
      </c>
    </row>
    <row r="1009" spans="1:16" x14ac:dyDescent="0.35">
      <c r="A1009" t="s">
        <v>1332</v>
      </c>
      <c r="B1009" s="1">
        <v>45610</v>
      </c>
      <c r="C1009" s="1">
        <v>45613</v>
      </c>
      <c r="D1009" t="s">
        <v>65</v>
      </c>
      <c r="E1009" t="s">
        <v>287</v>
      </c>
      <c r="F1009" t="s">
        <v>35</v>
      </c>
      <c r="G1009" t="s">
        <v>107</v>
      </c>
      <c r="H1009" t="s">
        <v>46</v>
      </c>
      <c r="I1009" t="s">
        <v>22</v>
      </c>
      <c r="J1009" t="s">
        <v>74</v>
      </c>
      <c r="K1009" t="s">
        <v>165</v>
      </c>
      <c r="L1009">
        <v>4</v>
      </c>
      <c r="M1009">
        <v>691.78</v>
      </c>
      <c r="N1009">
        <v>0.3</v>
      </c>
      <c r="O1009">
        <v>2767.12</v>
      </c>
      <c r="P1009">
        <v>-61.54</v>
      </c>
    </row>
    <row r="1010" spans="1:16" x14ac:dyDescent="0.35">
      <c r="A1010" t="s">
        <v>1333</v>
      </c>
      <c r="B1010" s="1">
        <v>45111</v>
      </c>
      <c r="C1010" s="1">
        <v>45114</v>
      </c>
      <c r="D1010" t="s">
        <v>44</v>
      </c>
      <c r="E1010" t="s">
        <v>77</v>
      </c>
      <c r="F1010" t="s">
        <v>19</v>
      </c>
      <c r="G1010" t="s">
        <v>51</v>
      </c>
      <c r="H1010" t="s">
        <v>36</v>
      </c>
      <c r="I1010" t="s">
        <v>30</v>
      </c>
      <c r="J1010" t="s">
        <v>99</v>
      </c>
      <c r="K1010" t="s">
        <v>247</v>
      </c>
      <c r="L1010">
        <v>2</v>
      </c>
      <c r="M1010">
        <v>131.97999999999999</v>
      </c>
      <c r="N1010">
        <v>0.2</v>
      </c>
      <c r="O1010">
        <v>263.95999999999998</v>
      </c>
      <c r="P1010">
        <v>88.67</v>
      </c>
    </row>
    <row r="1011" spans="1:16" x14ac:dyDescent="0.35">
      <c r="A1011" t="s">
        <v>1334</v>
      </c>
      <c r="B1011" s="1">
        <v>45655</v>
      </c>
      <c r="C1011" s="1">
        <v>45660</v>
      </c>
      <c r="D1011" t="s">
        <v>59</v>
      </c>
      <c r="E1011" t="s">
        <v>461</v>
      </c>
      <c r="F1011" t="s">
        <v>27</v>
      </c>
      <c r="G1011" t="s">
        <v>20</v>
      </c>
      <c r="H1011" t="s">
        <v>21</v>
      </c>
      <c r="I1011" t="s">
        <v>22</v>
      </c>
      <c r="J1011" t="s">
        <v>23</v>
      </c>
      <c r="K1011" t="s">
        <v>289</v>
      </c>
      <c r="L1011">
        <v>1</v>
      </c>
      <c r="M1011">
        <v>406.28</v>
      </c>
      <c r="N1011">
        <v>0</v>
      </c>
      <c r="O1011">
        <v>406.28</v>
      </c>
      <c r="P1011">
        <v>101.27</v>
      </c>
    </row>
    <row r="1012" spans="1:16" x14ac:dyDescent="0.35">
      <c r="A1012" t="s">
        <v>1335</v>
      </c>
      <c r="B1012" s="1">
        <v>45113</v>
      </c>
      <c r="C1012" s="1">
        <v>45119</v>
      </c>
      <c r="D1012" t="s">
        <v>44</v>
      </c>
      <c r="E1012" t="s">
        <v>617</v>
      </c>
      <c r="F1012" t="s">
        <v>35</v>
      </c>
      <c r="G1012" t="s">
        <v>90</v>
      </c>
      <c r="H1012" t="s">
        <v>62</v>
      </c>
      <c r="I1012" t="s">
        <v>22</v>
      </c>
      <c r="J1012" t="s">
        <v>37</v>
      </c>
      <c r="K1012" t="s">
        <v>38</v>
      </c>
      <c r="L1012">
        <v>5</v>
      </c>
      <c r="M1012">
        <v>10.69</v>
      </c>
      <c r="N1012">
        <v>0.3</v>
      </c>
      <c r="O1012">
        <v>53.45</v>
      </c>
      <c r="P1012">
        <v>2.4</v>
      </c>
    </row>
    <row r="1013" spans="1:16" x14ac:dyDescent="0.35">
      <c r="A1013" t="s">
        <v>1336</v>
      </c>
      <c r="B1013" s="1">
        <v>45499</v>
      </c>
      <c r="C1013" s="1">
        <v>45505</v>
      </c>
      <c r="D1013" t="s">
        <v>17</v>
      </c>
      <c r="E1013" t="s">
        <v>337</v>
      </c>
      <c r="F1013" t="s">
        <v>19</v>
      </c>
      <c r="G1013" t="s">
        <v>45</v>
      </c>
      <c r="H1013" t="s">
        <v>83</v>
      </c>
      <c r="I1013" t="s">
        <v>30</v>
      </c>
      <c r="J1013" t="s">
        <v>99</v>
      </c>
      <c r="K1013" t="s">
        <v>208</v>
      </c>
      <c r="L1013">
        <v>2</v>
      </c>
      <c r="M1013">
        <v>585.89</v>
      </c>
      <c r="N1013">
        <v>0.2</v>
      </c>
      <c r="O1013">
        <v>1171.78</v>
      </c>
      <c r="P1013">
        <v>374.47</v>
      </c>
    </row>
    <row r="1014" spans="1:16" x14ac:dyDescent="0.35">
      <c r="A1014" t="s">
        <v>1337</v>
      </c>
      <c r="B1014" s="1">
        <v>45381</v>
      </c>
      <c r="C1014" s="1">
        <v>45386</v>
      </c>
      <c r="D1014" t="s">
        <v>44</v>
      </c>
      <c r="E1014" t="s">
        <v>98</v>
      </c>
      <c r="F1014" t="s">
        <v>27</v>
      </c>
      <c r="G1014" t="s">
        <v>103</v>
      </c>
      <c r="H1014" t="s">
        <v>62</v>
      </c>
      <c r="I1014" t="s">
        <v>52</v>
      </c>
      <c r="J1014" t="s">
        <v>194</v>
      </c>
      <c r="K1014" t="s">
        <v>361</v>
      </c>
      <c r="L1014">
        <v>7</v>
      </c>
      <c r="M1014">
        <v>107.48</v>
      </c>
      <c r="N1014">
        <v>0.3</v>
      </c>
      <c r="O1014">
        <v>752.36</v>
      </c>
      <c r="P1014">
        <v>63.79</v>
      </c>
    </row>
    <row r="1015" spans="1:16" x14ac:dyDescent="0.35">
      <c r="A1015" t="s">
        <v>1338</v>
      </c>
      <c r="B1015" s="1">
        <v>45646</v>
      </c>
      <c r="C1015" s="1">
        <v>45653</v>
      </c>
      <c r="D1015" t="s">
        <v>59</v>
      </c>
      <c r="E1015" t="s">
        <v>551</v>
      </c>
      <c r="F1015" t="s">
        <v>35</v>
      </c>
      <c r="G1015" t="s">
        <v>103</v>
      </c>
      <c r="H1015" t="s">
        <v>62</v>
      </c>
      <c r="I1015" t="s">
        <v>22</v>
      </c>
      <c r="J1015" t="s">
        <v>115</v>
      </c>
      <c r="K1015" t="s">
        <v>147</v>
      </c>
      <c r="L1015">
        <v>3</v>
      </c>
      <c r="M1015">
        <v>856.3</v>
      </c>
      <c r="N1015">
        <v>0</v>
      </c>
      <c r="O1015">
        <v>2568.9</v>
      </c>
      <c r="P1015">
        <v>831.9</v>
      </c>
    </row>
    <row r="1016" spans="1:16" x14ac:dyDescent="0.35">
      <c r="A1016" t="s">
        <v>1339</v>
      </c>
      <c r="B1016" s="1">
        <v>45364</v>
      </c>
      <c r="C1016" s="1">
        <v>45365</v>
      </c>
      <c r="D1016" t="s">
        <v>44</v>
      </c>
      <c r="E1016" t="s">
        <v>422</v>
      </c>
      <c r="F1016" t="s">
        <v>27</v>
      </c>
      <c r="G1016" t="s">
        <v>67</v>
      </c>
      <c r="H1016" t="s">
        <v>36</v>
      </c>
      <c r="I1016" t="s">
        <v>30</v>
      </c>
      <c r="J1016" t="s">
        <v>41</v>
      </c>
      <c r="K1016" t="s">
        <v>42</v>
      </c>
      <c r="L1016">
        <v>11</v>
      </c>
      <c r="M1016">
        <v>266.17</v>
      </c>
      <c r="N1016">
        <v>0</v>
      </c>
      <c r="O1016">
        <v>2927.87</v>
      </c>
      <c r="P1016">
        <v>254.1</v>
      </c>
    </row>
    <row r="1017" spans="1:16" x14ac:dyDescent="0.35">
      <c r="A1017" t="s">
        <v>1340</v>
      </c>
      <c r="B1017" s="1">
        <v>45106</v>
      </c>
      <c r="C1017" s="1">
        <v>45107</v>
      </c>
      <c r="D1017" t="s">
        <v>59</v>
      </c>
      <c r="E1017" t="s">
        <v>395</v>
      </c>
      <c r="F1017" t="s">
        <v>27</v>
      </c>
      <c r="G1017" t="s">
        <v>61</v>
      </c>
      <c r="H1017" t="s">
        <v>73</v>
      </c>
      <c r="I1017" t="s">
        <v>52</v>
      </c>
      <c r="J1017" t="s">
        <v>53</v>
      </c>
      <c r="K1017" t="s">
        <v>54</v>
      </c>
      <c r="L1017">
        <v>11</v>
      </c>
      <c r="M1017">
        <v>232.31</v>
      </c>
      <c r="N1017">
        <v>0</v>
      </c>
      <c r="O1017">
        <v>2555.41</v>
      </c>
      <c r="P1017">
        <v>468.71</v>
      </c>
    </row>
    <row r="1018" spans="1:16" x14ac:dyDescent="0.35">
      <c r="A1018" t="s">
        <v>1341</v>
      </c>
      <c r="B1018" s="1">
        <v>45022</v>
      </c>
      <c r="C1018" s="1">
        <v>45023</v>
      </c>
      <c r="D1018" t="s">
        <v>65</v>
      </c>
      <c r="E1018" t="s">
        <v>442</v>
      </c>
      <c r="F1018" t="s">
        <v>19</v>
      </c>
      <c r="G1018" t="s">
        <v>61</v>
      </c>
      <c r="H1018" t="s">
        <v>62</v>
      </c>
      <c r="I1018" t="s">
        <v>30</v>
      </c>
      <c r="J1018" t="s">
        <v>47</v>
      </c>
      <c r="K1018" t="s">
        <v>48</v>
      </c>
      <c r="L1018">
        <v>3</v>
      </c>
      <c r="M1018">
        <v>829.53</v>
      </c>
      <c r="N1018">
        <v>0</v>
      </c>
      <c r="O1018">
        <v>2488.59</v>
      </c>
      <c r="P1018">
        <v>678.15</v>
      </c>
    </row>
    <row r="1019" spans="1:16" x14ac:dyDescent="0.35">
      <c r="A1019" t="s">
        <v>1342</v>
      </c>
      <c r="B1019" s="1">
        <v>45237</v>
      </c>
      <c r="C1019" s="1">
        <v>45240</v>
      </c>
      <c r="D1019" t="s">
        <v>17</v>
      </c>
      <c r="E1019" t="s">
        <v>319</v>
      </c>
      <c r="F1019" t="s">
        <v>27</v>
      </c>
      <c r="G1019" t="s">
        <v>51</v>
      </c>
      <c r="H1019" t="s">
        <v>21</v>
      </c>
      <c r="I1019" t="s">
        <v>30</v>
      </c>
      <c r="J1019" t="s">
        <v>99</v>
      </c>
      <c r="K1019" t="s">
        <v>208</v>
      </c>
      <c r="L1019">
        <v>5</v>
      </c>
      <c r="M1019">
        <v>657.28</v>
      </c>
      <c r="N1019">
        <v>0.15</v>
      </c>
      <c r="O1019">
        <v>3286.4</v>
      </c>
    </row>
    <row r="1020" spans="1:16" x14ac:dyDescent="0.35">
      <c r="A1020" t="s">
        <v>1343</v>
      </c>
      <c r="B1020" s="1">
        <v>45279</v>
      </c>
      <c r="C1020" s="1">
        <v>45282</v>
      </c>
      <c r="D1020" t="s">
        <v>65</v>
      </c>
      <c r="E1020" t="s">
        <v>81</v>
      </c>
      <c r="F1020" t="s">
        <v>19</v>
      </c>
      <c r="G1020" t="s">
        <v>86</v>
      </c>
      <c r="H1020" t="s">
        <v>29</v>
      </c>
      <c r="I1020" t="s">
        <v>30</v>
      </c>
      <c r="J1020" t="s">
        <v>47</v>
      </c>
      <c r="K1020" t="s">
        <v>63</v>
      </c>
      <c r="L1020">
        <v>4</v>
      </c>
      <c r="M1020">
        <v>504.84</v>
      </c>
      <c r="N1020">
        <v>0.3</v>
      </c>
      <c r="O1020">
        <v>2019.36</v>
      </c>
      <c r="P1020">
        <v>249.67</v>
      </c>
    </row>
    <row r="1021" spans="1:16" x14ac:dyDescent="0.35">
      <c r="A1021" t="s">
        <v>1344</v>
      </c>
      <c r="B1021" s="1">
        <v>44953</v>
      </c>
      <c r="C1021" s="1">
        <v>44956</v>
      </c>
      <c r="D1021" t="s">
        <v>17</v>
      </c>
      <c r="E1021" t="s">
        <v>599</v>
      </c>
      <c r="F1021" t="s">
        <v>19</v>
      </c>
      <c r="G1021" t="s">
        <v>20</v>
      </c>
      <c r="H1021" t="s">
        <v>21</v>
      </c>
      <c r="I1021" t="s">
        <v>30</v>
      </c>
      <c r="J1021" t="s">
        <v>41</v>
      </c>
      <c r="K1021" t="s">
        <v>124</v>
      </c>
      <c r="L1021">
        <v>5</v>
      </c>
      <c r="M1021">
        <v>692.36</v>
      </c>
      <c r="N1021">
        <v>0</v>
      </c>
      <c r="O1021">
        <v>3461.8</v>
      </c>
      <c r="P1021">
        <v>1018.48</v>
      </c>
    </row>
    <row r="1022" spans="1:16" x14ac:dyDescent="0.35">
      <c r="A1022" t="s">
        <v>1345</v>
      </c>
      <c r="B1022" s="1">
        <v>45073</v>
      </c>
      <c r="C1022" s="1">
        <v>45079</v>
      </c>
      <c r="D1022" t="s">
        <v>59</v>
      </c>
      <c r="E1022" t="s">
        <v>424</v>
      </c>
      <c r="F1022" t="s">
        <v>35</v>
      </c>
      <c r="G1022" t="s">
        <v>72</v>
      </c>
      <c r="H1022" t="s">
        <v>62</v>
      </c>
      <c r="I1022" t="s">
        <v>52</v>
      </c>
      <c r="J1022" t="s">
        <v>68</v>
      </c>
      <c r="K1022" t="s">
        <v>69</v>
      </c>
      <c r="L1022">
        <v>12</v>
      </c>
      <c r="M1022">
        <v>820.86</v>
      </c>
      <c r="N1022">
        <v>0.2</v>
      </c>
      <c r="O1022">
        <v>9850.32</v>
      </c>
      <c r="P1022">
        <v>1865.4</v>
      </c>
    </row>
    <row r="1023" spans="1:16" x14ac:dyDescent="0.35">
      <c r="A1023" t="s">
        <v>1346</v>
      </c>
      <c r="B1023" s="1">
        <v>45375</v>
      </c>
      <c r="C1023" s="1">
        <v>45380</v>
      </c>
      <c r="D1023" t="s">
        <v>17</v>
      </c>
      <c r="E1023" t="s">
        <v>261</v>
      </c>
      <c r="F1023" t="s">
        <v>27</v>
      </c>
      <c r="G1023" t="s">
        <v>181</v>
      </c>
      <c r="H1023" t="s">
        <v>123</v>
      </c>
      <c r="I1023" t="s">
        <v>52</v>
      </c>
      <c r="J1023" t="s">
        <v>78</v>
      </c>
      <c r="K1023" t="s">
        <v>96</v>
      </c>
      <c r="L1023">
        <v>12</v>
      </c>
      <c r="M1023">
        <v>833.13</v>
      </c>
      <c r="N1023">
        <v>0</v>
      </c>
      <c r="O1023">
        <v>9997.56</v>
      </c>
      <c r="P1023">
        <v>-1176.1600000000001</v>
      </c>
    </row>
    <row r="1024" spans="1:16" x14ac:dyDescent="0.35">
      <c r="A1024" t="s">
        <v>1125</v>
      </c>
      <c r="B1024" s="1">
        <v>45500</v>
      </c>
      <c r="C1024" s="1">
        <v>45504</v>
      </c>
      <c r="D1024" t="s">
        <v>59</v>
      </c>
      <c r="E1024" t="s">
        <v>368</v>
      </c>
      <c r="F1024" t="s">
        <v>35</v>
      </c>
      <c r="G1024" t="s">
        <v>128</v>
      </c>
      <c r="H1024" t="s">
        <v>112</v>
      </c>
      <c r="I1024" t="s">
        <v>22</v>
      </c>
      <c r="J1024" t="s">
        <v>37</v>
      </c>
      <c r="K1024" t="s">
        <v>144</v>
      </c>
      <c r="L1024">
        <v>6</v>
      </c>
      <c r="M1024">
        <v>770.56</v>
      </c>
      <c r="N1024">
        <v>0.3</v>
      </c>
      <c r="O1024">
        <v>4623.3599999999997</v>
      </c>
      <c r="P1024">
        <v>855.41</v>
      </c>
    </row>
    <row r="1025" spans="1:16" x14ac:dyDescent="0.35">
      <c r="A1025" t="s">
        <v>1347</v>
      </c>
      <c r="B1025" s="1">
        <v>45013</v>
      </c>
      <c r="C1025" s="1">
        <v>45014</v>
      </c>
      <c r="D1025" t="s">
        <v>65</v>
      </c>
      <c r="E1025" t="s">
        <v>708</v>
      </c>
      <c r="F1025" t="s">
        <v>19</v>
      </c>
      <c r="G1025" t="s">
        <v>90</v>
      </c>
      <c r="H1025" t="s">
        <v>62</v>
      </c>
      <c r="I1025" t="s">
        <v>22</v>
      </c>
      <c r="J1025" t="s">
        <v>23</v>
      </c>
      <c r="K1025" t="s">
        <v>24</v>
      </c>
      <c r="L1025">
        <v>5</v>
      </c>
      <c r="M1025">
        <v>46.32</v>
      </c>
      <c r="N1025">
        <v>0.15</v>
      </c>
      <c r="O1025">
        <v>231.6</v>
      </c>
      <c r="P1025">
        <v>70.010000000000005</v>
      </c>
    </row>
    <row r="1026" spans="1:16" x14ac:dyDescent="0.35">
      <c r="A1026" t="s">
        <v>1348</v>
      </c>
      <c r="B1026" s="1">
        <v>45315</v>
      </c>
      <c r="C1026" s="1">
        <v>45318</v>
      </c>
      <c r="D1026" t="s">
        <v>65</v>
      </c>
      <c r="E1026" t="s">
        <v>213</v>
      </c>
      <c r="F1026" t="s">
        <v>35</v>
      </c>
      <c r="H1026" t="s">
        <v>62</v>
      </c>
      <c r="I1026" t="s">
        <v>30</v>
      </c>
      <c r="J1026" t="s">
        <v>99</v>
      </c>
      <c r="K1026" t="s">
        <v>100</v>
      </c>
      <c r="L1026">
        <v>5</v>
      </c>
      <c r="M1026">
        <v>64.239999999999995</v>
      </c>
      <c r="N1026">
        <v>0.15</v>
      </c>
      <c r="O1026">
        <v>321.2</v>
      </c>
      <c r="P1026">
        <v>92.56</v>
      </c>
    </row>
    <row r="1027" spans="1:16" x14ac:dyDescent="0.35">
      <c r="A1027" t="s">
        <v>1349</v>
      </c>
      <c r="B1027" s="1">
        <v>45521</v>
      </c>
      <c r="C1027" s="1">
        <v>45522</v>
      </c>
      <c r="D1027" t="s">
        <v>44</v>
      </c>
      <c r="F1027" t="s">
        <v>19</v>
      </c>
      <c r="G1027" t="s">
        <v>211</v>
      </c>
      <c r="H1027" t="s">
        <v>159</v>
      </c>
      <c r="I1027" t="s">
        <v>30</v>
      </c>
      <c r="J1027" t="s">
        <v>99</v>
      </c>
      <c r="K1027" t="s">
        <v>100</v>
      </c>
      <c r="L1027">
        <v>3</v>
      </c>
      <c r="M1027">
        <v>868.87</v>
      </c>
      <c r="N1027">
        <v>0</v>
      </c>
      <c r="O1027">
        <v>2606.61</v>
      </c>
      <c r="P1027">
        <v>859.4</v>
      </c>
    </row>
    <row r="1028" spans="1:16" x14ac:dyDescent="0.35">
      <c r="A1028" t="s">
        <v>1350</v>
      </c>
      <c r="B1028" s="1">
        <v>45633</v>
      </c>
      <c r="C1028" s="1">
        <v>45634</v>
      </c>
      <c r="D1028" t="s">
        <v>59</v>
      </c>
      <c r="E1028" t="s">
        <v>56</v>
      </c>
      <c r="F1028" t="s">
        <v>35</v>
      </c>
      <c r="G1028" t="s">
        <v>132</v>
      </c>
      <c r="H1028" t="s">
        <v>129</v>
      </c>
      <c r="I1028" t="s">
        <v>52</v>
      </c>
      <c r="J1028" t="s">
        <v>194</v>
      </c>
      <c r="K1028" t="s">
        <v>306</v>
      </c>
      <c r="L1028">
        <v>1</v>
      </c>
      <c r="M1028">
        <v>565.75</v>
      </c>
      <c r="N1028">
        <v>0.1</v>
      </c>
      <c r="O1028">
        <v>565.75</v>
      </c>
      <c r="P1028">
        <v>-73.040000000000006</v>
      </c>
    </row>
    <row r="1029" spans="1:16" x14ac:dyDescent="0.35">
      <c r="A1029" t="s">
        <v>1351</v>
      </c>
      <c r="B1029" s="1">
        <v>45049</v>
      </c>
      <c r="C1029" s="1">
        <v>45054</v>
      </c>
      <c r="D1029" t="s">
        <v>17</v>
      </c>
      <c r="E1029" t="s">
        <v>143</v>
      </c>
      <c r="F1029" t="s">
        <v>19</v>
      </c>
      <c r="G1029" t="s">
        <v>28</v>
      </c>
      <c r="H1029" t="s">
        <v>159</v>
      </c>
      <c r="I1029" t="s">
        <v>52</v>
      </c>
      <c r="J1029" t="s">
        <v>53</v>
      </c>
      <c r="K1029" t="s">
        <v>91</v>
      </c>
      <c r="L1029">
        <v>11</v>
      </c>
      <c r="M1029">
        <v>645.99</v>
      </c>
      <c r="N1029">
        <v>0</v>
      </c>
      <c r="O1029">
        <v>7105.89</v>
      </c>
      <c r="P1029">
        <v>-122.17</v>
      </c>
    </row>
    <row r="1030" spans="1:16" x14ac:dyDescent="0.35">
      <c r="A1030" t="s">
        <v>1352</v>
      </c>
      <c r="B1030" s="1">
        <v>45254</v>
      </c>
      <c r="C1030" s="1">
        <v>45260</v>
      </c>
      <c r="D1030" t="s">
        <v>17</v>
      </c>
      <c r="E1030" t="s">
        <v>324</v>
      </c>
      <c r="F1030" t="s">
        <v>35</v>
      </c>
      <c r="G1030" t="s">
        <v>67</v>
      </c>
      <c r="H1030" t="s">
        <v>21</v>
      </c>
      <c r="I1030" t="s">
        <v>22</v>
      </c>
      <c r="J1030" t="s">
        <v>115</v>
      </c>
      <c r="K1030" t="s">
        <v>133</v>
      </c>
      <c r="L1030">
        <v>6</v>
      </c>
      <c r="M1030">
        <v>460.34</v>
      </c>
      <c r="N1030">
        <v>0</v>
      </c>
      <c r="O1030">
        <v>2762.04</v>
      </c>
      <c r="P1030">
        <v>946.18</v>
      </c>
    </row>
    <row r="1031" spans="1:16" x14ac:dyDescent="0.35">
      <c r="A1031" t="s">
        <v>1353</v>
      </c>
      <c r="B1031" s="1">
        <v>45468</v>
      </c>
      <c r="C1031" s="1">
        <v>45473</v>
      </c>
      <c r="D1031" t="s">
        <v>17</v>
      </c>
      <c r="E1031" t="s">
        <v>143</v>
      </c>
      <c r="F1031" t="s">
        <v>19</v>
      </c>
      <c r="G1031" t="s">
        <v>187</v>
      </c>
      <c r="H1031" t="s">
        <v>159</v>
      </c>
      <c r="I1031" t="s">
        <v>52</v>
      </c>
      <c r="J1031" t="s">
        <v>160</v>
      </c>
      <c r="K1031" t="s">
        <v>234</v>
      </c>
      <c r="L1031">
        <v>8</v>
      </c>
      <c r="M1031">
        <v>358.85</v>
      </c>
      <c r="N1031">
        <v>0</v>
      </c>
      <c r="O1031">
        <v>2870.8</v>
      </c>
      <c r="P1031">
        <v>92.58</v>
      </c>
    </row>
    <row r="1032" spans="1:16" x14ac:dyDescent="0.35">
      <c r="A1032" t="s">
        <v>1354</v>
      </c>
      <c r="B1032" s="1">
        <v>45647</v>
      </c>
      <c r="C1032" s="1">
        <v>45654</v>
      </c>
      <c r="E1032" t="s">
        <v>158</v>
      </c>
      <c r="F1032" t="s">
        <v>19</v>
      </c>
      <c r="G1032" t="s">
        <v>288</v>
      </c>
      <c r="H1032" t="s">
        <v>129</v>
      </c>
      <c r="I1032" t="s">
        <v>30</v>
      </c>
      <c r="J1032" t="s">
        <v>41</v>
      </c>
      <c r="K1032" t="s">
        <v>191</v>
      </c>
      <c r="L1032">
        <v>9</v>
      </c>
      <c r="M1032">
        <v>402.76</v>
      </c>
      <c r="N1032">
        <v>0.15</v>
      </c>
      <c r="O1032">
        <v>3624.84</v>
      </c>
      <c r="P1032">
        <v>-215.26</v>
      </c>
    </row>
    <row r="1033" spans="1:16" x14ac:dyDescent="0.35">
      <c r="A1033" t="s">
        <v>1355</v>
      </c>
      <c r="B1033" s="1">
        <v>45497</v>
      </c>
      <c r="C1033" s="1">
        <v>45502</v>
      </c>
      <c r="D1033" t="s">
        <v>44</v>
      </c>
      <c r="E1033" t="s">
        <v>781</v>
      </c>
      <c r="F1033" t="s">
        <v>35</v>
      </c>
      <c r="G1033" t="s">
        <v>181</v>
      </c>
      <c r="H1033" t="s">
        <v>83</v>
      </c>
      <c r="I1033" t="s">
        <v>22</v>
      </c>
      <c r="J1033" t="s">
        <v>115</v>
      </c>
      <c r="K1033" t="s">
        <v>116</v>
      </c>
      <c r="L1033">
        <v>11</v>
      </c>
      <c r="M1033">
        <v>605.97</v>
      </c>
      <c r="N1033">
        <v>0</v>
      </c>
      <c r="O1033">
        <v>6665.67</v>
      </c>
      <c r="P1033">
        <v>211.11</v>
      </c>
    </row>
    <row r="1034" spans="1:16" x14ac:dyDescent="0.35">
      <c r="A1034" t="s">
        <v>1356</v>
      </c>
      <c r="B1034" s="1">
        <v>45574</v>
      </c>
      <c r="C1034" s="1">
        <v>45575</v>
      </c>
      <c r="D1034" t="s">
        <v>44</v>
      </c>
      <c r="E1034" t="s">
        <v>301</v>
      </c>
      <c r="F1034" t="s">
        <v>35</v>
      </c>
      <c r="G1034" t="s">
        <v>20</v>
      </c>
      <c r="H1034" t="s">
        <v>36</v>
      </c>
      <c r="I1034" t="s">
        <v>22</v>
      </c>
      <c r="J1034" t="s">
        <v>23</v>
      </c>
      <c r="K1034" t="s">
        <v>289</v>
      </c>
      <c r="L1034">
        <v>2</v>
      </c>
      <c r="M1034">
        <v>449.94</v>
      </c>
      <c r="N1034">
        <v>0.3</v>
      </c>
      <c r="O1034">
        <v>899.88</v>
      </c>
      <c r="P1034">
        <v>142.01</v>
      </c>
    </row>
    <row r="1035" spans="1:16" x14ac:dyDescent="0.35">
      <c r="A1035" t="s">
        <v>1357</v>
      </c>
      <c r="B1035" s="1">
        <v>45003</v>
      </c>
      <c r="C1035" s="1">
        <v>45006</v>
      </c>
      <c r="D1035" t="s">
        <v>65</v>
      </c>
      <c r="E1035" t="s">
        <v>89</v>
      </c>
      <c r="F1035" t="s">
        <v>35</v>
      </c>
      <c r="G1035" t="s">
        <v>86</v>
      </c>
      <c r="H1035" t="s">
        <v>29</v>
      </c>
      <c r="I1035" t="s">
        <v>52</v>
      </c>
      <c r="J1035" t="s">
        <v>53</v>
      </c>
      <c r="K1035" t="s">
        <v>54</v>
      </c>
      <c r="L1035">
        <v>7</v>
      </c>
      <c r="M1035">
        <v>94.89</v>
      </c>
      <c r="N1035">
        <v>0.2</v>
      </c>
      <c r="O1035">
        <v>664.23</v>
      </c>
      <c r="P1035">
        <v>164.13</v>
      </c>
    </row>
    <row r="1036" spans="1:16" x14ac:dyDescent="0.35">
      <c r="A1036" t="s">
        <v>1358</v>
      </c>
      <c r="B1036" s="1">
        <v>45171</v>
      </c>
      <c r="C1036" s="1">
        <v>45173</v>
      </c>
      <c r="D1036" t="s">
        <v>44</v>
      </c>
      <c r="E1036" t="s">
        <v>122</v>
      </c>
      <c r="F1036" t="s">
        <v>35</v>
      </c>
      <c r="G1036" t="s">
        <v>211</v>
      </c>
      <c r="H1036" t="s">
        <v>29</v>
      </c>
      <c r="I1036" t="s">
        <v>30</v>
      </c>
      <c r="J1036" t="s">
        <v>47</v>
      </c>
      <c r="K1036" t="s">
        <v>48</v>
      </c>
      <c r="L1036">
        <v>7</v>
      </c>
      <c r="M1036">
        <v>656.96</v>
      </c>
      <c r="N1036">
        <v>0.3</v>
      </c>
      <c r="O1036">
        <v>4598.72</v>
      </c>
      <c r="P1036">
        <v>-364.64</v>
      </c>
    </row>
    <row r="1037" spans="1:16" x14ac:dyDescent="0.35">
      <c r="A1037" t="s">
        <v>1359</v>
      </c>
      <c r="B1037" s="1">
        <v>45587</v>
      </c>
      <c r="C1037" s="1">
        <v>45590</v>
      </c>
      <c r="D1037" t="s">
        <v>44</v>
      </c>
      <c r="E1037" t="s">
        <v>351</v>
      </c>
      <c r="F1037" t="s">
        <v>27</v>
      </c>
      <c r="G1037" t="s">
        <v>103</v>
      </c>
      <c r="H1037" t="s">
        <v>73</v>
      </c>
      <c r="I1037" t="s">
        <v>30</v>
      </c>
      <c r="J1037" t="s">
        <v>47</v>
      </c>
      <c r="K1037" t="s">
        <v>63</v>
      </c>
      <c r="L1037">
        <v>1</v>
      </c>
      <c r="M1037">
        <v>459.12</v>
      </c>
      <c r="N1037">
        <v>0.15</v>
      </c>
      <c r="O1037">
        <v>459.12</v>
      </c>
      <c r="P1037">
        <v>64.47</v>
      </c>
    </row>
    <row r="1038" spans="1:16" x14ac:dyDescent="0.35">
      <c r="A1038" t="s">
        <v>1360</v>
      </c>
      <c r="B1038" s="1">
        <v>45386</v>
      </c>
      <c r="C1038" s="1">
        <v>45391</v>
      </c>
      <c r="D1038" t="s">
        <v>65</v>
      </c>
      <c r="E1038" t="s">
        <v>424</v>
      </c>
      <c r="F1038" t="s">
        <v>35</v>
      </c>
      <c r="G1038" t="s">
        <v>132</v>
      </c>
      <c r="H1038" t="s">
        <v>129</v>
      </c>
      <c r="I1038" t="s">
        <v>22</v>
      </c>
      <c r="J1038" t="s">
        <v>74</v>
      </c>
      <c r="K1038" t="s">
        <v>75</v>
      </c>
      <c r="L1038">
        <v>11</v>
      </c>
      <c r="M1038">
        <v>823.39</v>
      </c>
      <c r="N1038">
        <v>0</v>
      </c>
      <c r="O1038">
        <v>9057.2900000000009</v>
      </c>
      <c r="P1038">
        <v>2123.73</v>
      </c>
    </row>
    <row r="1039" spans="1:16" x14ac:dyDescent="0.35">
      <c r="A1039" t="s">
        <v>1361</v>
      </c>
      <c r="B1039" s="1">
        <v>45393</v>
      </c>
      <c r="C1039" s="1">
        <v>45400</v>
      </c>
      <c r="D1039" t="s">
        <v>44</v>
      </c>
      <c r="E1039" t="s">
        <v>1362</v>
      </c>
      <c r="F1039" t="s">
        <v>27</v>
      </c>
      <c r="G1039" t="s">
        <v>187</v>
      </c>
      <c r="H1039" t="s">
        <v>29</v>
      </c>
      <c r="I1039" t="s">
        <v>52</v>
      </c>
      <c r="J1039" t="s">
        <v>160</v>
      </c>
      <c r="K1039" t="s">
        <v>634</v>
      </c>
      <c r="L1039">
        <v>2</v>
      </c>
      <c r="M1039">
        <v>273.74</v>
      </c>
      <c r="N1039">
        <v>0.3</v>
      </c>
      <c r="O1039">
        <v>547.48</v>
      </c>
      <c r="P1039">
        <v>112.45</v>
      </c>
    </row>
    <row r="1040" spans="1:16" x14ac:dyDescent="0.35">
      <c r="A1040" t="s">
        <v>1363</v>
      </c>
      <c r="B1040" s="1">
        <v>45242</v>
      </c>
      <c r="C1040" s="1">
        <v>45246</v>
      </c>
      <c r="D1040" t="s">
        <v>44</v>
      </c>
      <c r="E1040" t="s">
        <v>269</v>
      </c>
      <c r="F1040" t="s">
        <v>35</v>
      </c>
      <c r="G1040" t="s">
        <v>45</v>
      </c>
      <c r="H1040" t="s">
        <v>123</v>
      </c>
      <c r="I1040" t="s">
        <v>22</v>
      </c>
      <c r="J1040" t="s">
        <v>37</v>
      </c>
      <c r="K1040" t="s">
        <v>144</v>
      </c>
      <c r="L1040">
        <v>2</v>
      </c>
      <c r="M1040">
        <v>199.76</v>
      </c>
      <c r="N1040">
        <v>0</v>
      </c>
      <c r="O1040">
        <v>399.52</v>
      </c>
      <c r="P1040">
        <v>117.31</v>
      </c>
    </row>
    <row r="1041" spans="1:16" x14ac:dyDescent="0.35">
      <c r="A1041" t="s">
        <v>1149</v>
      </c>
      <c r="B1041" s="1">
        <v>45332</v>
      </c>
      <c r="C1041" s="1">
        <v>45334</v>
      </c>
      <c r="D1041" t="s">
        <v>59</v>
      </c>
      <c r="E1041" t="s">
        <v>784</v>
      </c>
      <c r="F1041" t="s">
        <v>35</v>
      </c>
      <c r="G1041" t="s">
        <v>28</v>
      </c>
      <c r="H1041" t="s">
        <v>159</v>
      </c>
      <c r="I1041" t="s">
        <v>30</v>
      </c>
      <c r="J1041" t="s">
        <v>99</v>
      </c>
      <c r="K1041" t="s">
        <v>154</v>
      </c>
      <c r="L1041">
        <v>6</v>
      </c>
      <c r="M1041">
        <v>874.81</v>
      </c>
      <c r="N1041">
        <v>0.2</v>
      </c>
      <c r="O1041">
        <v>5248.86</v>
      </c>
      <c r="P1041">
        <v>832.58</v>
      </c>
    </row>
    <row r="1042" spans="1:16" x14ac:dyDescent="0.35">
      <c r="A1042" t="s">
        <v>1364</v>
      </c>
      <c r="B1042" s="1">
        <v>45369</v>
      </c>
      <c r="C1042" s="1">
        <v>45375</v>
      </c>
      <c r="D1042" t="s">
        <v>59</v>
      </c>
      <c r="E1042" t="s">
        <v>576</v>
      </c>
      <c r="F1042" t="s">
        <v>35</v>
      </c>
      <c r="G1042" t="s">
        <v>67</v>
      </c>
      <c r="H1042" t="s">
        <v>21</v>
      </c>
      <c r="I1042" t="s">
        <v>52</v>
      </c>
      <c r="J1042" t="s">
        <v>160</v>
      </c>
      <c r="K1042" t="s">
        <v>634</v>
      </c>
      <c r="L1042">
        <v>8</v>
      </c>
      <c r="M1042">
        <v>403.67</v>
      </c>
      <c r="N1042">
        <v>0.1</v>
      </c>
      <c r="O1042">
        <v>3229.36</v>
      </c>
      <c r="P1042">
        <v>284.89</v>
      </c>
    </row>
    <row r="1043" spans="1:16" x14ac:dyDescent="0.35">
      <c r="A1043" t="s">
        <v>1365</v>
      </c>
      <c r="B1043" s="1">
        <v>45505</v>
      </c>
      <c r="C1043" s="1">
        <v>45509</v>
      </c>
      <c r="D1043" t="s">
        <v>59</v>
      </c>
      <c r="E1043" t="s">
        <v>26</v>
      </c>
      <c r="F1043" t="s">
        <v>27</v>
      </c>
      <c r="G1043" t="s">
        <v>181</v>
      </c>
      <c r="H1043" t="s">
        <v>46</v>
      </c>
      <c r="I1043" t="s">
        <v>52</v>
      </c>
      <c r="J1043" t="s">
        <v>78</v>
      </c>
      <c r="K1043" t="s">
        <v>198</v>
      </c>
      <c r="L1043">
        <v>12</v>
      </c>
      <c r="M1043">
        <v>213.93</v>
      </c>
      <c r="O1043">
        <v>2567.16</v>
      </c>
      <c r="P1043">
        <v>773.43</v>
      </c>
    </row>
    <row r="1044" spans="1:16" x14ac:dyDescent="0.35">
      <c r="A1044" t="s">
        <v>1366</v>
      </c>
      <c r="B1044" s="1">
        <v>45588</v>
      </c>
      <c r="C1044" s="1">
        <v>45592</v>
      </c>
      <c r="D1044" t="s">
        <v>17</v>
      </c>
      <c r="E1044" t="s">
        <v>1367</v>
      </c>
      <c r="F1044" t="s">
        <v>27</v>
      </c>
      <c r="G1044" t="s">
        <v>45</v>
      </c>
      <c r="I1044" t="s">
        <v>30</v>
      </c>
      <c r="J1044" t="s">
        <v>99</v>
      </c>
      <c r="K1044" t="s">
        <v>154</v>
      </c>
      <c r="L1044">
        <v>8</v>
      </c>
      <c r="M1044">
        <v>27.3</v>
      </c>
      <c r="N1044">
        <v>0.1</v>
      </c>
      <c r="O1044">
        <v>218.4</v>
      </c>
      <c r="P1044">
        <v>31.7</v>
      </c>
    </row>
    <row r="1045" spans="1:16" x14ac:dyDescent="0.35">
      <c r="A1045" t="s">
        <v>1368</v>
      </c>
      <c r="B1045" s="1">
        <v>45183</v>
      </c>
      <c r="C1045" s="1">
        <v>45190</v>
      </c>
      <c r="D1045" t="s">
        <v>59</v>
      </c>
      <c r="E1045" t="s">
        <v>267</v>
      </c>
      <c r="F1045" t="s">
        <v>27</v>
      </c>
      <c r="G1045" t="s">
        <v>111</v>
      </c>
      <c r="H1045" t="s">
        <v>129</v>
      </c>
      <c r="I1045" t="s">
        <v>30</v>
      </c>
      <c r="J1045" t="s">
        <v>41</v>
      </c>
      <c r="K1045" t="s">
        <v>42</v>
      </c>
      <c r="L1045">
        <v>3</v>
      </c>
      <c r="M1045">
        <v>631.54999999999995</v>
      </c>
      <c r="N1045">
        <v>0.1</v>
      </c>
      <c r="O1045">
        <v>1894.65</v>
      </c>
    </row>
    <row r="1046" spans="1:16" x14ac:dyDescent="0.35">
      <c r="A1046" t="s">
        <v>1369</v>
      </c>
      <c r="B1046" s="1">
        <v>45587</v>
      </c>
      <c r="C1046" s="1">
        <v>45590</v>
      </c>
      <c r="D1046" t="s">
        <v>65</v>
      </c>
      <c r="E1046" t="s">
        <v>492</v>
      </c>
      <c r="F1046" t="s">
        <v>35</v>
      </c>
      <c r="G1046" t="s">
        <v>332</v>
      </c>
      <c r="H1046" t="s">
        <v>46</v>
      </c>
      <c r="I1046" t="s">
        <v>30</v>
      </c>
      <c r="J1046" t="s">
        <v>41</v>
      </c>
      <c r="K1046" t="s">
        <v>105</v>
      </c>
      <c r="L1046">
        <v>11</v>
      </c>
      <c r="M1046">
        <v>577.35</v>
      </c>
      <c r="N1046">
        <v>0</v>
      </c>
      <c r="O1046">
        <v>6350.85</v>
      </c>
      <c r="P1046">
        <v>-792.02</v>
      </c>
    </row>
    <row r="1047" spans="1:16" x14ac:dyDescent="0.35">
      <c r="A1047" t="s">
        <v>1370</v>
      </c>
      <c r="B1047" s="1">
        <v>45304</v>
      </c>
      <c r="C1047" s="1">
        <v>45308</v>
      </c>
      <c r="D1047" t="s">
        <v>59</v>
      </c>
      <c r="E1047" t="s">
        <v>319</v>
      </c>
      <c r="F1047" t="s">
        <v>27</v>
      </c>
      <c r="G1047" t="s">
        <v>187</v>
      </c>
      <c r="H1047" t="s">
        <v>29</v>
      </c>
      <c r="I1047" t="s">
        <v>22</v>
      </c>
      <c r="J1047" t="s">
        <v>23</v>
      </c>
      <c r="K1047" t="s">
        <v>289</v>
      </c>
      <c r="L1047">
        <v>2</v>
      </c>
      <c r="M1047">
        <v>843.53</v>
      </c>
      <c r="N1047">
        <v>0.1</v>
      </c>
      <c r="O1047">
        <v>1687.06</v>
      </c>
      <c r="P1047">
        <v>-20.29</v>
      </c>
    </row>
    <row r="1048" spans="1:16" x14ac:dyDescent="0.35">
      <c r="A1048" t="s">
        <v>874</v>
      </c>
      <c r="B1048" s="1">
        <v>45561</v>
      </c>
      <c r="C1048" s="1">
        <v>45562</v>
      </c>
      <c r="D1048" t="s">
        <v>17</v>
      </c>
      <c r="E1048" t="s">
        <v>805</v>
      </c>
      <c r="F1048" t="s">
        <v>35</v>
      </c>
      <c r="G1048" t="s">
        <v>45</v>
      </c>
      <c r="H1048" t="s">
        <v>83</v>
      </c>
      <c r="I1048" t="s">
        <v>30</v>
      </c>
      <c r="J1048" t="s">
        <v>41</v>
      </c>
      <c r="K1048" t="s">
        <v>42</v>
      </c>
      <c r="L1048">
        <v>3</v>
      </c>
      <c r="M1048">
        <v>341.48</v>
      </c>
      <c r="N1048">
        <v>0.3</v>
      </c>
      <c r="O1048">
        <v>1024.44</v>
      </c>
      <c r="P1048">
        <v>307.27999999999997</v>
      </c>
    </row>
    <row r="1049" spans="1:16" x14ac:dyDescent="0.35">
      <c r="A1049" t="s">
        <v>1371</v>
      </c>
      <c r="B1049" s="1">
        <v>44995</v>
      </c>
      <c r="C1049" s="1">
        <v>44997</v>
      </c>
      <c r="D1049" t="s">
        <v>17</v>
      </c>
      <c r="E1049" t="s">
        <v>263</v>
      </c>
      <c r="F1049" t="s">
        <v>27</v>
      </c>
      <c r="G1049" t="s">
        <v>128</v>
      </c>
      <c r="H1049" t="s">
        <v>129</v>
      </c>
      <c r="I1049" t="s">
        <v>30</v>
      </c>
      <c r="J1049" t="s">
        <v>99</v>
      </c>
      <c r="K1049" t="s">
        <v>208</v>
      </c>
      <c r="L1049">
        <v>6</v>
      </c>
      <c r="M1049">
        <v>883.37</v>
      </c>
      <c r="N1049">
        <v>0.2</v>
      </c>
      <c r="O1049">
        <v>5300.22</v>
      </c>
      <c r="P1049">
        <v>234.71</v>
      </c>
    </row>
    <row r="1050" spans="1:16" x14ac:dyDescent="0.35">
      <c r="A1050" t="s">
        <v>1372</v>
      </c>
      <c r="B1050" s="1">
        <v>45095</v>
      </c>
      <c r="C1050" s="1">
        <v>45098</v>
      </c>
      <c r="D1050" t="s">
        <v>17</v>
      </c>
      <c r="E1050" t="s">
        <v>574</v>
      </c>
      <c r="F1050" t="s">
        <v>27</v>
      </c>
      <c r="G1050" t="s">
        <v>111</v>
      </c>
      <c r="I1050" t="s">
        <v>52</v>
      </c>
      <c r="J1050" t="s">
        <v>194</v>
      </c>
      <c r="K1050" t="s">
        <v>361</v>
      </c>
      <c r="L1050">
        <v>9</v>
      </c>
      <c r="M1050">
        <v>545.51</v>
      </c>
      <c r="N1050">
        <v>0</v>
      </c>
      <c r="O1050">
        <v>4909.59</v>
      </c>
      <c r="P1050">
        <v>1490.81</v>
      </c>
    </row>
    <row r="1051" spans="1:16" x14ac:dyDescent="0.35">
      <c r="A1051" t="s">
        <v>1373</v>
      </c>
      <c r="B1051" s="1">
        <v>45491</v>
      </c>
      <c r="C1051" s="1">
        <v>45496</v>
      </c>
      <c r="D1051" t="s">
        <v>59</v>
      </c>
      <c r="E1051" t="s">
        <v>556</v>
      </c>
      <c r="F1051" t="s">
        <v>35</v>
      </c>
      <c r="G1051" t="s">
        <v>28</v>
      </c>
      <c r="H1051" t="s">
        <v>29</v>
      </c>
      <c r="I1051" t="s">
        <v>22</v>
      </c>
      <c r="J1051" t="s">
        <v>115</v>
      </c>
      <c r="K1051" t="s">
        <v>116</v>
      </c>
      <c r="L1051">
        <v>5</v>
      </c>
      <c r="M1051">
        <v>776.49</v>
      </c>
      <c r="N1051">
        <v>0.15</v>
      </c>
      <c r="O1051">
        <v>3882.45</v>
      </c>
      <c r="P1051">
        <v>969.57</v>
      </c>
    </row>
    <row r="1052" spans="1:16" x14ac:dyDescent="0.35">
      <c r="A1052" t="s">
        <v>1374</v>
      </c>
      <c r="B1052" s="1">
        <v>44949</v>
      </c>
      <c r="C1052" s="1">
        <v>44953</v>
      </c>
      <c r="D1052" t="s">
        <v>17</v>
      </c>
      <c r="E1052" t="s">
        <v>71</v>
      </c>
      <c r="F1052" t="s">
        <v>19</v>
      </c>
      <c r="G1052" t="s">
        <v>128</v>
      </c>
      <c r="H1052" t="s">
        <v>129</v>
      </c>
      <c r="I1052" t="s">
        <v>22</v>
      </c>
      <c r="J1052" t="s">
        <v>115</v>
      </c>
      <c r="K1052" t="s">
        <v>133</v>
      </c>
      <c r="L1052">
        <v>10</v>
      </c>
      <c r="M1052">
        <v>273.81</v>
      </c>
      <c r="N1052">
        <v>0.3</v>
      </c>
      <c r="O1052">
        <v>2738.1</v>
      </c>
      <c r="P1052">
        <v>-57.99</v>
      </c>
    </row>
    <row r="1053" spans="1:16" x14ac:dyDescent="0.35">
      <c r="A1053" t="s">
        <v>1375</v>
      </c>
      <c r="B1053" s="1">
        <v>45340</v>
      </c>
      <c r="C1053" s="1">
        <v>45341</v>
      </c>
      <c r="D1053" t="s">
        <v>59</v>
      </c>
      <c r="E1053" t="s">
        <v>375</v>
      </c>
      <c r="F1053" t="s">
        <v>19</v>
      </c>
      <c r="G1053" t="s">
        <v>20</v>
      </c>
      <c r="H1053" t="s">
        <v>36</v>
      </c>
      <c r="I1053" t="s">
        <v>22</v>
      </c>
      <c r="J1053" t="s">
        <v>74</v>
      </c>
      <c r="K1053" t="s">
        <v>253</v>
      </c>
      <c r="L1053">
        <v>9</v>
      </c>
      <c r="M1053">
        <v>508.88</v>
      </c>
      <c r="N1053">
        <v>0.2</v>
      </c>
      <c r="O1053">
        <v>4579.92</v>
      </c>
      <c r="P1053">
        <v>531.1</v>
      </c>
    </row>
    <row r="1054" spans="1:16" x14ac:dyDescent="0.35">
      <c r="A1054" t="s">
        <v>1376</v>
      </c>
      <c r="B1054" s="1">
        <v>45389</v>
      </c>
      <c r="C1054" s="1">
        <v>45390</v>
      </c>
      <c r="D1054" t="s">
        <v>65</v>
      </c>
      <c r="E1054" t="s">
        <v>316</v>
      </c>
      <c r="F1054" t="s">
        <v>19</v>
      </c>
      <c r="G1054" t="s">
        <v>332</v>
      </c>
      <c r="H1054" t="s">
        <v>83</v>
      </c>
      <c r="I1054" t="s">
        <v>52</v>
      </c>
      <c r="J1054" t="s">
        <v>194</v>
      </c>
      <c r="K1054" t="s">
        <v>361</v>
      </c>
      <c r="L1054">
        <v>5</v>
      </c>
      <c r="M1054">
        <v>540.09</v>
      </c>
      <c r="N1054">
        <v>0.3</v>
      </c>
      <c r="O1054">
        <v>2700.45</v>
      </c>
      <c r="P1054">
        <v>513.08000000000004</v>
      </c>
    </row>
    <row r="1055" spans="1:16" x14ac:dyDescent="0.35">
      <c r="A1055" t="s">
        <v>1377</v>
      </c>
      <c r="B1055" s="1">
        <v>45252</v>
      </c>
      <c r="C1055" s="1">
        <v>45257</v>
      </c>
      <c r="D1055" t="s">
        <v>17</v>
      </c>
      <c r="E1055" t="s">
        <v>492</v>
      </c>
      <c r="F1055" t="s">
        <v>19</v>
      </c>
      <c r="G1055" t="s">
        <v>107</v>
      </c>
      <c r="H1055" t="s">
        <v>123</v>
      </c>
      <c r="I1055" t="s">
        <v>30</v>
      </c>
      <c r="J1055" t="s">
        <v>47</v>
      </c>
      <c r="K1055" t="s">
        <v>63</v>
      </c>
      <c r="L1055">
        <v>5</v>
      </c>
      <c r="M1055">
        <v>754.39</v>
      </c>
      <c r="N1055">
        <v>0.2</v>
      </c>
      <c r="O1055">
        <v>3771.95</v>
      </c>
      <c r="P1055">
        <v>1212.04</v>
      </c>
    </row>
    <row r="1056" spans="1:16" x14ac:dyDescent="0.35">
      <c r="A1056" t="s">
        <v>1378</v>
      </c>
      <c r="B1056" s="1">
        <v>45358</v>
      </c>
      <c r="C1056" s="1">
        <v>45363</v>
      </c>
      <c r="D1056" t="s">
        <v>44</v>
      </c>
      <c r="E1056" t="s">
        <v>565</v>
      </c>
      <c r="F1056" t="s">
        <v>27</v>
      </c>
      <c r="G1056" t="s">
        <v>72</v>
      </c>
      <c r="H1056" t="s">
        <v>73</v>
      </c>
      <c r="I1056" t="s">
        <v>30</v>
      </c>
      <c r="J1056" t="s">
        <v>47</v>
      </c>
      <c r="K1056" t="s">
        <v>94</v>
      </c>
      <c r="L1056">
        <v>6</v>
      </c>
      <c r="M1056">
        <v>504.75</v>
      </c>
      <c r="N1056">
        <v>0</v>
      </c>
      <c r="O1056">
        <v>3028.5</v>
      </c>
      <c r="P1056">
        <v>940.2</v>
      </c>
    </row>
    <row r="1057" spans="1:16" x14ac:dyDescent="0.35">
      <c r="A1057" t="s">
        <v>1379</v>
      </c>
      <c r="B1057" s="1">
        <v>45580</v>
      </c>
      <c r="C1057" s="1">
        <v>45582</v>
      </c>
      <c r="D1057" t="s">
        <v>65</v>
      </c>
      <c r="E1057" t="s">
        <v>213</v>
      </c>
      <c r="F1057" t="s">
        <v>35</v>
      </c>
      <c r="G1057" t="s">
        <v>86</v>
      </c>
      <c r="H1057" t="s">
        <v>29</v>
      </c>
      <c r="I1057" t="s">
        <v>30</v>
      </c>
      <c r="J1057" t="s">
        <v>99</v>
      </c>
      <c r="K1057" t="s">
        <v>100</v>
      </c>
      <c r="L1057">
        <v>3</v>
      </c>
      <c r="M1057">
        <v>238.35</v>
      </c>
      <c r="N1057">
        <v>0.2</v>
      </c>
      <c r="O1057">
        <v>715.05</v>
      </c>
      <c r="P1057">
        <v>136.05000000000001</v>
      </c>
    </row>
    <row r="1058" spans="1:16" x14ac:dyDescent="0.35">
      <c r="A1058" t="s">
        <v>1380</v>
      </c>
      <c r="B1058" s="1">
        <v>45123</v>
      </c>
      <c r="C1058" s="1">
        <v>45130</v>
      </c>
      <c r="D1058" t="s">
        <v>44</v>
      </c>
      <c r="E1058" t="s">
        <v>1381</v>
      </c>
      <c r="F1058" t="s">
        <v>35</v>
      </c>
      <c r="G1058" t="s">
        <v>181</v>
      </c>
      <c r="H1058" t="s">
        <v>46</v>
      </c>
      <c r="I1058" t="s">
        <v>52</v>
      </c>
      <c r="J1058" t="s">
        <v>68</v>
      </c>
      <c r="K1058" t="s">
        <v>216</v>
      </c>
      <c r="L1058">
        <v>9</v>
      </c>
      <c r="M1058">
        <v>520.26</v>
      </c>
      <c r="N1058">
        <v>0.3</v>
      </c>
      <c r="O1058">
        <v>4682.34</v>
      </c>
      <c r="P1058">
        <v>539.29999999999995</v>
      </c>
    </row>
    <row r="1059" spans="1:16" x14ac:dyDescent="0.35">
      <c r="A1059" t="s">
        <v>1382</v>
      </c>
      <c r="B1059" s="1">
        <v>45425</v>
      </c>
      <c r="C1059" s="1">
        <v>45426</v>
      </c>
      <c r="D1059" t="s">
        <v>59</v>
      </c>
      <c r="E1059" t="s">
        <v>210</v>
      </c>
      <c r="F1059" t="s">
        <v>35</v>
      </c>
      <c r="G1059" t="s">
        <v>181</v>
      </c>
      <c r="H1059" t="s">
        <v>123</v>
      </c>
      <c r="I1059" t="s">
        <v>30</v>
      </c>
      <c r="J1059" t="s">
        <v>47</v>
      </c>
      <c r="K1059" t="s">
        <v>63</v>
      </c>
      <c r="L1059">
        <v>4</v>
      </c>
      <c r="M1059">
        <v>133.06</v>
      </c>
      <c r="N1059">
        <v>0</v>
      </c>
      <c r="O1059">
        <v>532.24</v>
      </c>
      <c r="P1059">
        <v>59.37</v>
      </c>
    </row>
    <row r="1060" spans="1:16" x14ac:dyDescent="0.35">
      <c r="A1060" t="s">
        <v>1383</v>
      </c>
      <c r="B1060" s="1">
        <v>45435</v>
      </c>
      <c r="C1060" s="1">
        <v>45440</v>
      </c>
      <c r="D1060" t="s">
        <v>59</v>
      </c>
      <c r="E1060" t="s">
        <v>114</v>
      </c>
      <c r="F1060" t="s">
        <v>35</v>
      </c>
      <c r="G1060" t="s">
        <v>20</v>
      </c>
      <c r="H1060" t="s">
        <v>36</v>
      </c>
      <c r="I1060" t="s">
        <v>52</v>
      </c>
      <c r="J1060" t="s">
        <v>78</v>
      </c>
      <c r="K1060" t="s">
        <v>198</v>
      </c>
      <c r="L1060">
        <v>9</v>
      </c>
      <c r="M1060">
        <v>196.6</v>
      </c>
      <c r="N1060">
        <v>0</v>
      </c>
      <c r="O1060">
        <v>1769.4</v>
      </c>
      <c r="P1060">
        <v>-223.36</v>
      </c>
    </row>
    <row r="1061" spans="1:16" x14ac:dyDescent="0.35">
      <c r="A1061" t="s">
        <v>1368</v>
      </c>
      <c r="B1061" s="1">
        <v>45183</v>
      </c>
      <c r="C1061" s="1">
        <v>45190</v>
      </c>
      <c r="D1061" t="s">
        <v>59</v>
      </c>
      <c r="E1061" t="s">
        <v>267</v>
      </c>
      <c r="F1061" t="s">
        <v>27</v>
      </c>
      <c r="G1061" t="s">
        <v>111</v>
      </c>
      <c r="H1061" t="s">
        <v>129</v>
      </c>
      <c r="I1061" t="s">
        <v>30</v>
      </c>
      <c r="J1061" t="s">
        <v>41</v>
      </c>
      <c r="K1061" t="s">
        <v>42</v>
      </c>
      <c r="L1061">
        <v>3</v>
      </c>
      <c r="M1061">
        <v>631.54999999999995</v>
      </c>
      <c r="N1061">
        <v>0.1</v>
      </c>
      <c r="O1061">
        <v>1894.65</v>
      </c>
      <c r="P1061">
        <v>260.17</v>
      </c>
    </row>
    <row r="1062" spans="1:16" x14ac:dyDescent="0.35">
      <c r="A1062" t="s">
        <v>1384</v>
      </c>
      <c r="B1062" s="1">
        <v>44973</v>
      </c>
      <c r="C1062" s="1">
        <v>44979</v>
      </c>
      <c r="D1062" t="s">
        <v>44</v>
      </c>
      <c r="E1062" t="s">
        <v>972</v>
      </c>
      <c r="F1062" t="s">
        <v>19</v>
      </c>
      <c r="G1062" t="s">
        <v>211</v>
      </c>
      <c r="H1062" t="s">
        <v>159</v>
      </c>
      <c r="I1062" t="s">
        <v>30</v>
      </c>
      <c r="J1062" t="s">
        <v>99</v>
      </c>
      <c r="K1062" t="s">
        <v>208</v>
      </c>
      <c r="L1062">
        <v>11</v>
      </c>
      <c r="M1062">
        <v>407.27</v>
      </c>
      <c r="N1062">
        <v>0.15</v>
      </c>
      <c r="O1062">
        <v>4479.97</v>
      </c>
      <c r="P1062">
        <v>-370.68</v>
      </c>
    </row>
    <row r="1063" spans="1:16" x14ac:dyDescent="0.35">
      <c r="A1063" t="s">
        <v>1385</v>
      </c>
      <c r="B1063" s="1">
        <v>45620</v>
      </c>
      <c r="C1063" s="1">
        <v>45625</v>
      </c>
      <c r="D1063" t="s">
        <v>59</v>
      </c>
      <c r="E1063" t="s">
        <v>784</v>
      </c>
      <c r="F1063" t="s">
        <v>35</v>
      </c>
      <c r="G1063" t="s">
        <v>28</v>
      </c>
      <c r="H1063" t="s">
        <v>29</v>
      </c>
      <c r="I1063" t="s">
        <v>52</v>
      </c>
      <c r="J1063" t="s">
        <v>53</v>
      </c>
      <c r="K1063" t="s">
        <v>91</v>
      </c>
      <c r="L1063">
        <v>8</v>
      </c>
      <c r="M1063">
        <v>761.55</v>
      </c>
      <c r="N1063">
        <v>0</v>
      </c>
      <c r="O1063">
        <v>6092.4</v>
      </c>
      <c r="P1063">
        <v>2130.4299999999998</v>
      </c>
    </row>
    <row r="1064" spans="1:16" x14ac:dyDescent="0.35">
      <c r="A1064" t="s">
        <v>1386</v>
      </c>
      <c r="B1064" s="1">
        <v>45547</v>
      </c>
      <c r="C1064" s="1">
        <v>45554</v>
      </c>
      <c r="D1064" t="s">
        <v>44</v>
      </c>
      <c r="E1064" t="s">
        <v>141</v>
      </c>
      <c r="F1064" t="s">
        <v>19</v>
      </c>
      <c r="G1064" t="s">
        <v>107</v>
      </c>
      <c r="H1064" t="s">
        <v>83</v>
      </c>
      <c r="I1064" t="s">
        <v>52</v>
      </c>
      <c r="J1064" t="s">
        <v>194</v>
      </c>
      <c r="K1064" t="s">
        <v>361</v>
      </c>
      <c r="L1064">
        <v>9</v>
      </c>
      <c r="M1064">
        <v>680.6</v>
      </c>
      <c r="N1064">
        <v>0</v>
      </c>
      <c r="O1064">
        <v>6125.4</v>
      </c>
      <c r="P1064">
        <v>913.88</v>
      </c>
    </row>
    <row r="1065" spans="1:16" x14ac:dyDescent="0.35">
      <c r="A1065" t="s">
        <v>1387</v>
      </c>
      <c r="B1065" s="1">
        <v>45413</v>
      </c>
      <c r="C1065" s="1">
        <v>45418</v>
      </c>
      <c r="D1065" t="s">
        <v>17</v>
      </c>
      <c r="E1065" t="s">
        <v>503</v>
      </c>
      <c r="F1065" t="s">
        <v>35</v>
      </c>
      <c r="G1065" t="s">
        <v>86</v>
      </c>
      <c r="H1065" t="s">
        <v>29</v>
      </c>
      <c r="I1065" t="s">
        <v>30</v>
      </c>
      <c r="J1065" t="s">
        <v>99</v>
      </c>
      <c r="K1065" t="s">
        <v>208</v>
      </c>
      <c r="L1065">
        <v>8</v>
      </c>
      <c r="M1065">
        <v>810.15</v>
      </c>
      <c r="N1065">
        <v>0.1</v>
      </c>
      <c r="O1065">
        <v>6481.2</v>
      </c>
      <c r="P1065">
        <v>-580.04999999999995</v>
      </c>
    </row>
    <row r="1066" spans="1:16" x14ac:dyDescent="0.35">
      <c r="A1066" t="s">
        <v>1388</v>
      </c>
      <c r="B1066" s="1">
        <v>45232</v>
      </c>
      <c r="C1066" s="1">
        <v>45237</v>
      </c>
      <c r="D1066" t="s">
        <v>59</v>
      </c>
      <c r="E1066" t="s">
        <v>255</v>
      </c>
      <c r="F1066" t="s">
        <v>27</v>
      </c>
      <c r="G1066" t="s">
        <v>103</v>
      </c>
      <c r="H1066" t="s">
        <v>62</v>
      </c>
      <c r="I1066" t="s">
        <v>52</v>
      </c>
      <c r="J1066" t="s">
        <v>78</v>
      </c>
      <c r="K1066" t="s">
        <v>96</v>
      </c>
      <c r="L1066">
        <v>8</v>
      </c>
      <c r="M1066">
        <v>800.89</v>
      </c>
      <c r="N1066">
        <v>0</v>
      </c>
      <c r="O1066">
        <v>6407.12</v>
      </c>
      <c r="P1066">
        <v>1765.35</v>
      </c>
    </row>
    <row r="1067" spans="1:16" x14ac:dyDescent="0.35">
      <c r="A1067" t="s">
        <v>1389</v>
      </c>
      <c r="B1067" s="1">
        <v>45093</v>
      </c>
      <c r="C1067" s="1">
        <v>45094</v>
      </c>
      <c r="D1067" t="s">
        <v>59</v>
      </c>
      <c r="E1067" t="s">
        <v>693</v>
      </c>
      <c r="F1067" t="s">
        <v>35</v>
      </c>
      <c r="G1067" t="s">
        <v>288</v>
      </c>
      <c r="H1067" t="s">
        <v>129</v>
      </c>
      <c r="I1067" t="s">
        <v>52</v>
      </c>
      <c r="J1067" t="s">
        <v>68</v>
      </c>
      <c r="K1067" t="s">
        <v>216</v>
      </c>
      <c r="L1067">
        <v>1</v>
      </c>
      <c r="M1067">
        <v>706.03</v>
      </c>
      <c r="N1067">
        <v>0</v>
      </c>
      <c r="O1067">
        <v>706.03</v>
      </c>
      <c r="P1067">
        <v>-95.84</v>
      </c>
    </row>
    <row r="1068" spans="1:16" x14ac:dyDescent="0.35">
      <c r="A1068" t="s">
        <v>1390</v>
      </c>
      <c r="B1068" s="1">
        <v>45075</v>
      </c>
      <c r="C1068" s="1">
        <v>45077</v>
      </c>
      <c r="D1068" t="s">
        <v>44</v>
      </c>
      <c r="E1068" t="s">
        <v>363</v>
      </c>
      <c r="F1068" t="s">
        <v>27</v>
      </c>
      <c r="G1068" t="s">
        <v>211</v>
      </c>
      <c r="H1068" t="s">
        <v>159</v>
      </c>
      <c r="I1068" t="s">
        <v>52</v>
      </c>
      <c r="J1068" t="s">
        <v>53</v>
      </c>
      <c r="K1068" t="s">
        <v>54</v>
      </c>
      <c r="L1068">
        <v>7</v>
      </c>
      <c r="M1068">
        <v>613.1</v>
      </c>
      <c r="N1068">
        <v>0</v>
      </c>
      <c r="O1068">
        <v>4291.7</v>
      </c>
      <c r="P1068">
        <v>1343.27</v>
      </c>
    </row>
    <row r="1069" spans="1:16" x14ac:dyDescent="0.35">
      <c r="A1069" t="s">
        <v>1391</v>
      </c>
      <c r="B1069" s="1">
        <v>45316</v>
      </c>
      <c r="C1069" s="1">
        <v>45318</v>
      </c>
      <c r="D1069" t="s">
        <v>44</v>
      </c>
      <c r="E1069" t="s">
        <v>314</v>
      </c>
      <c r="F1069" t="s">
        <v>27</v>
      </c>
      <c r="G1069" t="s">
        <v>86</v>
      </c>
      <c r="H1069" t="s">
        <v>29</v>
      </c>
      <c r="I1069" t="s">
        <v>52</v>
      </c>
      <c r="J1069" t="s">
        <v>78</v>
      </c>
      <c r="K1069" t="s">
        <v>198</v>
      </c>
      <c r="L1069">
        <v>7</v>
      </c>
      <c r="M1069">
        <v>251.99</v>
      </c>
      <c r="N1069">
        <v>0</v>
      </c>
      <c r="O1069">
        <v>1763.93</v>
      </c>
      <c r="P1069">
        <v>162.49</v>
      </c>
    </row>
    <row r="1070" spans="1:16" x14ac:dyDescent="0.35">
      <c r="A1070" t="s">
        <v>1392</v>
      </c>
      <c r="B1070" s="1">
        <v>45256</v>
      </c>
      <c r="C1070" s="1">
        <v>45263</v>
      </c>
      <c r="D1070" t="s">
        <v>65</v>
      </c>
      <c r="E1070" t="s">
        <v>331</v>
      </c>
      <c r="F1070" t="s">
        <v>19</v>
      </c>
      <c r="G1070" t="s">
        <v>211</v>
      </c>
      <c r="H1070" t="s">
        <v>29</v>
      </c>
      <c r="I1070" t="s">
        <v>22</v>
      </c>
      <c r="J1070" t="s">
        <v>115</v>
      </c>
      <c r="K1070" t="s">
        <v>116</v>
      </c>
      <c r="L1070">
        <v>11</v>
      </c>
      <c r="M1070">
        <v>260.44</v>
      </c>
      <c r="N1070">
        <v>0.1</v>
      </c>
      <c r="O1070">
        <v>2864.84</v>
      </c>
      <c r="P1070">
        <v>-70.260000000000005</v>
      </c>
    </row>
    <row r="1071" spans="1:16" x14ac:dyDescent="0.35">
      <c r="A1071" t="s">
        <v>1393</v>
      </c>
      <c r="B1071" s="1">
        <v>44980</v>
      </c>
      <c r="C1071" s="1">
        <v>44985</v>
      </c>
      <c r="D1071" t="s">
        <v>17</v>
      </c>
      <c r="E1071" t="s">
        <v>492</v>
      </c>
      <c r="F1071" t="s">
        <v>19</v>
      </c>
      <c r="G1071" t="s">
        <v>211</v>
      </c>
      <c r="H1071" t="s">
        <v>159</v>
      </c>
      <c r="I1071" t="s">
        <v>52</v>
      </c>
      <c r="J1071" t="s">
        <v>53</v>
      </c>
      <c r="K1071" t="s">
        <v>54</v>
      </c>
      <c r="L1071">
        <v>12</v>
      </c>
      <c r="M1071">
        <v>403.11</v>
      </c>
      <c r="N1071">
        <v>0.15</v>
      </c>
      <c r="O1071">
        <v>4837.32</v>
      </c>
      <c r="P1071">
        <v>62.82</v>
      </c>
    </row>
    <row r="1072" spans="1:16" x14ac:dyDescent="0.35">
      <c r="A1072" t="s">
        <v>1394</v>
      </c>
      <c r="B1072" s="1">
        <v>45359</v>
      </c>
      <c r="C1072" s="1">
        <v>45366</v>
      </c>
      <c r="D1072" t="s">
        <v>17</v>
      </c>
      <c r="E1072" t="s">
        <v>465</v>
      </c>
      <c r="F1072" t="s">
        <v>27</v>
      </c>
      <c r="G1072" t="s">
        <v>67</v>
      </c>
      <c r="H1072" t="s">
        <v>21</v>
      </c>
      <c r="I1072" t="s">
        <v>52</v>
      </c>
      <c r="J1072" t="s">
        <v>78</v>
      </c>
      <c r="K1072" t="s">
        <v>198</v>
      </c>
      <c r="L1072">
        <v>6</v>
      </c>
      <c r="M1072">
        <v>876.08</v>
      </c>
      <c r="N1072">
        <v>0.2</v>
      </c>
      <c r="O1072">
        <v>5256.48</v>
      </c>
      <c r="P1072">
        <v>-199.14</v>
      </c>
    </row>
    <row r="1073" spans="1:16" x14ac:dyDescent="0.35">
      <c r="A1073" t="s">
        <v>298</v>
      </c>
      <c r="B1073" s="1">
        <v>45222</v>
      </c>
      <c r="C1073" s="1">
        <v>45224</v>
      </c>
      <c r="D1073" t="s">
        <v>44</v>
      </c>
      <c r="E1073" t="s">
        <v>299</v>
      </c>
      <c r="F1073" t="s">
        <v>19</v>
      </c>
      <c r="G1073" t="s">
        <v>20</v>
      </c>
      <c r="H1073" t="s">
        <v>21</v>
      </c>
      <c r="I1073" t="s">
        <v>30</v>
      </c>
      <c r="J1073" t="s">
        <v>31</v>
      </c>
      <c r="K1073" t="s">
        <v>87</v>
      </c>
      <c r="L1073">
        <v>2</v>
      </c>
      <c r="M1073">
        <v>104.22</v>
      </c>
      <c r="N1073">
        <v>0.1</v>
      </c>
      <c r="O1073">
        <v>208.44</v>
      </c>
      <c r="P1073">
        <v>30.93</v>
      </c>
    </row>
    <row r="1074" spans="1:16" x14ac:dyDescent="0.35">
      <c r="A1074" t="s">
        <v>1395</v>
      </c>
      <c r="B1074" s="1">
        <v>45495</v>
      </c>
      <c r="C1074" s="1">
        <v>45498</v>
      </c>
      <c r="D1074" t="s">
        <v>17</v>
      </c>
      <c r="E1074" t="s">
        <v>1185</v>
      </c>
      <c r="F1074" t="s">
        <v>27</v>
      </c>
      <c r="G1074" t="s">
        <v>90</v>
      </c>
      <c r="H1074" t="s">
        <v>73</v>
      </c>
      <c r="I1074" t="s">
        <v>30</v>
      </c>
      <c r="J1074" t="s">
        <v>47</v>
      </c>
      <c r="K1074" t="s">
        <v>48</v>
      </c>
      <c r="L1074">
        <v>12</v>
      </c>
      <c r="M1074">
        <v>535.59</v>
      </c>
      <c r="N1074">
        <v>0</v>
      </c>
      <c r="O1074">
        <v>6427.08</v>
      </c>
      <c r="P1074">
        <v>1649.58</v>
      </c>
    </row>
    <row r="1075" spans="1:16" x14ac:dyDescent="0.35">
      <c r="A1075" t="s">
        <v>1396</v>
      </c>
      <c r="B1075" s="1">
        <v>45594</v>
      </c>
      <c r="C1075" s="1">
        <v>45599</v>
      </c>
      <c r="D1075" t="s">
        <v>44</v>
      </c>
      <c r="E1075" t="s">
        <v>291</v>
      </c>
      <c r="F1075" t="s">
        <v>35</v>
      </c>
      <c r="G1075" t="s">
        <v>28</v>
      </c>
      <c r="H1075" t="s">
        <v>159</v>
      </c>
      <c r="I1075" t="s">
        <v>52</v>
      </c>
      <c r="J1075" t="s">
        <v>194</v>
      </c>
      <c r="K1075" t="s">
        <v>361</v>
      </c>
      <c r="L1075">
        <v>3</v>
      </c>
      <c r="M1075">
        <v>843.26</v>
      </c>
      <c r="N1075">
        <v>0.3</v>
      </c>
      <c r="O1075">
        <v>2529.7800000000002</v>
      </c>
      <c r="P1075">
        <v>791.87</v>
      </c>
    </row>
    <row r="1076" spans="1:16" x14ac:dyDescent="0.35">
      <c r="A1076" t="s">
        <v>1397</v>
      </c>
      <c r="B1076" s="1">
        <v>45138</v>
      </c>
      <c r="C1076" s="1">
        <v>45144</v>
      </c>
      <c r="D1076" t="s">
        <v>65</v>
      </c>
      <c r="E1076" t="s">
        <v>386</v>
      </c>
      <c r="F1076" t="s">
        <v>27</v>
      </c>
      <c r="G1076" t="s">
        <v>107</v>
      </c>
      <c r="H1076" t="s">
        <v>46</v>
      </c>
      <c r="I1076" t="s">
        <v>22</v>
      </c>
      <c r="J1076" t="s">
        <v>74</v>
      </c>
      <c r="K1076" t="s">
        <v>75</v>
      </c>
      <c r="L1076">
        <v>9</v>
      </c>
      <c r="M1076">
        <v>161.58000000000001</v>
      </c>
      <c r="N1076">
        <v>0.2</v>
      </c>
      <c r="O1076">
        <v>1454.22</v>
      </c>
      <c r="P1076">
        <v>35.520000000000003</v>
      </c>
    </row>
    <row r="1077" spans="1:16" x14ac:dyDescent="0.35">
      <c r="A1077" t="s">
        <v>1398</v>
      </c>
      <c r="B1077" s="1">
        <v>45109</v>
      </c>
      <c r="C1077" s="1">
        <v>45111</v>
      </c>
      <c r="D1077" t="s">
        <v>65</v>
      </c>
      <c r="E1077" t="s">
        <v>267</v>
      </c>
      <c r="F1077" t="s">
        <v>27</v>
      </c>
      <c r="G1077" t="s">
        <v>111</v>
      </c>
      <c r="H1077" t="s">
        <v>112</v>
      </c>
      <c r="I1077" t="s">
        <v>30</v>
      </c>
      <c r="J1077" t="s">
        <v>99</v>
      </c>
      <c r="K1077" t="s">
        <v>154</v>
      </c>
      <c r="L1077">
        <v>11</v>
      </c>
      <c r="M1077">
        <v>678.54</v>
      </c>
      <c r="N1077">
        <v>0.2</v>
      </c>
      <c r="O1077">
        <v>7463.94</v>
      </c>
      <c r="P1077">
        <v>-544.37</v>
      </c>
    </row>
    <row r="1078" spans="1:16" x14ac:dyDescent="0.35">
      <c r="A1078" t="s">
        <v>1399</v>
      </c>
      <c r="B1078" s="1">
        <v>45598</v>
      </c>
      <c r="C1078" s="1">
        <v>45602</v>
      </c>
      <c r="D1078" t="s">
        <v>44</v>
      </c>
      <c r="E1078" t="s">
        <v>389</v>
      </c>
      <c r="F1078" t="s">
        <v>19</v>
      </c>
      <c r="G1078" t="s">
        <v>86</v>
      </c>
      <c r="H1078" t="s">
        <v>159</v>
      </c>
      <c r="I1078" t="s">
        <v>30</v>
      </c>
      <c r="J1078" t="s">
        <v>41</v>
      </c>
      <c r="K1078" t="s">
        <v>105</v>
      </c>
      <c r="L1078">
        <v>12</v>
      </c>
      <c r="M1078">
        <v>748.08</v>
      </c>
      <c r="N1078">
        <v>0.15</v>
      </c>
      <c r="O1078">
        <v>8976.9599999999991</v>
      </c>
      <c r="P1078">
        <v>2778.25</v>
      </c>
    </row>
    <row r="1079" spans="1:16" x14ac:dyDescent="0.35">
      <c r="A1079" t="s">
        <v>1400</v>
      </c>
      <c r="B1079" s="1">
        <v>45373</v>
      </c>
      <c r="C1079" s="1">
        <v>45377</v>
      </c>
      <c r="D1079" t="s">
        <v>65</v>
      </c>
      <c r="E1079" t="s">
        <v>114</v>
      </c>
      <c r="F1079" t="s">
        <v>27</v>
      </c>
      <c r="G1079" t="s">
        <v>45</v>
      </c>
      <c r="H1079" t="s">
        <v>123</v>
      </c>
      <c r="I1079" t="s">
        <v>30</v>
      </c>
      <c r="J1079" t="s">
        <v>31</v>
      </c>
      <c r="K1079" t="s">
        <v>87</v>
      </c>
      <c r="L1079">
        <v>10</v>
      </c>
      <c r="M1079">
        <v>484.1</v>
      </c>
      <c r="N1079">
        <v>0</v>
      </c>
      <c r="O1079">
        <v>4841</v>
      </c>
      <c r="P1079">
        <v>80.94</v>
      </c>
    </row>
    <row r="1080" spans="1:16" x14ac:dyDescent="0.35">
      <c r="A1080" t="s">
        <v>1401</v>
      </c>
      <c r="B1080" s="1">
        <v>45317</v>
      </c>
      <c r="C1080" s="1">
        <v>45322</v>
      </c>
      <c r="D1080" t="s">
        <v>17</v>
      </c>
      <c r="E1080" t="s">
        <v>114</v>
      </c>
      <c r="F1080" t="s">
        <v>35</v>
      </c>
      <c r="G1080" t="s">
        <v>20</v>
      </c>
      <c r="H1080" t="s">
        <v>36</v>
      </c>
      <c r="I1080" t="s">
        <v>22</v>
      </c>
      <c r="J1080" t="s">
        <v>74</v>
      </c>
      <c r="K1080" t="s">
        <v>165</v>
      </c>
      <c r="L1080">
        <v>4</v>
      </c>
      <c r="M1080">
        <v>51.64</v>
      </c>
      <c r="N1080">
        <v>0</v>
      </c>
      <c r="O1080">
        <v>206.56</v>
      </c>
      <c r="P1080">
        <v>65.92</v>
      </c>
    </row>
    <row r="1081" spans="1:16" x14ac:dyDescent="0.35">
      <c r="A1081" t="s">
        <v>1402</v>
      </c>
      <c r="B1081" s="1">
        <v>45037</v>
      </c>
      <c r="C1081" s="1">
        <v>45041</v>
      </c>
      <c r="D1081" t="s">
        <v>44</v>
      </c>
      <c r="E1081" t="s">
        <v>141</v>
      </c>
      <c r="F1081" t="s">
        <v>35</v>
      </c>
      <c r="G1081" t="s">
        <v>28</v>
      </c>
      <c r="H1081" t="s">
        <v>29</v>
      </c>
      <c r="I1081" t="s">
        <v>30</v>
      </c>
      <c r="J1081" t="s">
        <v>31</v>
      </c>
      <c r="K1081" t="s">
        <v>57</v>
      </c>
      <c r="L1081">
        <v>11</v>
      </c>
      <c r="M1081">
        <v>91.45</v>
      </c>
      <c r="N1081">
        <v>0.3</v>
      </c>
      <c r="O1081">
        <v>1005.95</v>
      </c>
      <c r="P1081">
        <v>-54.82</v>
      </c>
    </row>
    <row r="1082" spans="1:16" x14ac:dyDescent="0.35">
      <c r="A1082" t="s">
        <v>1403</v>
      </c>
      <c r="B1082" s="1">
        <v>45376</v>
      </c>
      <c r="C1082" s="1">
        <v>45378</v>
      </c>
      <c r="D1082" t="s">
        <v>17</v>
      </c>
      <c r="E1082" t="s">
        <v>589</v>
      </c>
      <c r="F1082" t="s">
        <v>27</v>
      </c>
      <c r="G1082" t="s">
        <v>72</v>
      </c>
      <c r="H1082" t="s">
        <v>73</v>
      </c>
      <c r="I1082" t="s">
        <v>30</v>
      </c>
      <c r="J1082" t="s">
        <v>47</v>
      </c>
      <c r="K1082" t="s">
        <v>94</v>
      </c>
      <c r="L1082">
        <v>10</v>
      </c>
      <c r="M1082">
        <v>540.14</v>
      </c>
      <c r="N1082">
        <v>0.2</v>
      </c>
      <c r="O1082">
        <v>5401.4</v>
      </c>
      <c r="P1082">
        <v>1400</v>
      </c>
    </row>
    <row r="1083" spans="1:16" x14ac:dyDescent="0.35">
      <c r="A1083" t="s">
        <v>1404</v>
      </c>
      <c r="B1083" s="1">
        <v>45380</v>
      </c>
      <c r="C1083" s="1">
        <v>45382</v>
      </c>
      <c r="D1083" t="s">
        <v>17</v>
      </c>
      <c r="E1083" t="s">
        <v>419</v>
      </c>
      <c r="F1083" t="s">
        <v>19</v>
      </c>
      <c r="G1083" t="s">
        <v>45</v>
      </c>
      <c r="H1083" t="s">
        <v>123</v>
      </c>
      <c r="I1083" t="s">
        <v>30</v>
      </c>
      <c r="J1083" t="s">
        <v>47</v>
      </c>
      <c r="K1083" t="s">
        <v>63</v>
      </c>
      <c r="L1083">
        <v>7</v>
      </c>
      <c r="M1083">
        <v>60.01</v>
      </c>
      <c r="N1083">
        <v>0.3</v>
      </c>
      <c r="O1083">
        <v>420.07</v>
      </c>
      <c r="P1083">
        <v>-55.22</v>
      </c>
    </row>
    <row r="1084" spans="1:16" x14ac:dyDescent="0.35">
      <c r="A1084" t="s">
        <v>1405</v>
      </c>
      <c r="B1084" s="1">
        <v>45429</v>
      </c>
      <c r="C1084" s="1">
        <v>45432</v>
      </c>
      <c r="D1084" t="s">
        <v>65</v>
      </c>
      <c r="E1084" t="s">
        <v>1367</v>
      </c>
      <c r="F1084" t="s">
        <v>27</v>
      </c>
      <c r="G1084" t="s">
        <v>103</v>
      </c>
      <c r="H1084" t="s">
        <v>62</v>
      </c>
      <c r="I1084" t="s">
        <v>52</v>
      </c>
      <c r="J1084" t="s">
        <v>194</v>
      </c>
      <c r="K1084" t="s">
        <v>195</v>
      </c>
      <c r="L1084">
        <v>7</v>
      </c>
      <c r="M1084">
        <v>338.68</v>
      </c>
      <c r="N1084">
        <v>0</v>
      </c>
      <c r="O1084">
        <v>2370.7600000000002</v>
      </c>
      <c r="P1084">
        <v>53.25</v>
      </c>
    </row>
    <row r="1085" spans="1:16" x14ac:dyDescent="0.35">
      <c r="A1085" t="s">
        <v>1406</v>
      </c>
      <c r="B1085" s="1">
        <v>45170</v>
      </c>
      <c r="C1085" s="1">
        <v>45175</v>
      </c>
      <c r="D1085" t="s">
        <v>59</v>
      </c>
      <c r="E1085" t="s">
        <v>231</v>
      </c>
      <c r="F1085" t="s">
        <v>19</v>
      </c>
      <c r="G1085" t="s">
        <v>103</v>
      </c>
      <c r="H1085" t="s">
        <v>62</v>
      </c>
      <c r="I1085" t="s">
        <v>52</v>
      </c>
      <c r="J1085" t="s">
        <v>194</v>
      </c>
      <c r="K1085" t="s">
        <v>361</v>
      </c>
      <c r="L1085">
        <v>6</v>
      </c>
      <c r="M1085">
        <v>174.47</v>
      </c>
      <c r="N1085">
        <v>0.1</v>
      </c>
      <c r="O1085">
        <v>1046.82</v>
      </c>
      <c r="P1085">
        <v>206.63</v>
      </c>
    </row>
    <row r="1086" spans="1:16" x14ac:dyDescent="0.35">
      <c r="A1086" t="s">
        <v>1407</v>
      </c>
      <c r="B1086" s="1">
        <v>45294</v>
      </c>
      <c r="C1086" s="1">
        <v>45299</v>
      </c>
      <c r="D1086" t="s">
        <v>65</v>
      </c>
      <c r="E1086" t="s">
        <v>221</v>
      </c>
      <c r="F1086" t="s">
        <v>19</v>
      </c>
      <c r="G1086" t="s">
        <v>20</v>
      </c>
      <c r="H1086" t="s">
        <v>21</v>
      </c>
      <c r="I1086" t="s">
        <v>52</v>
      </c>
      <c r="J1086" t="s">
        <v>160</v>
      </c>
      <c r="K1086" t="s">
        <v>634</v>
      </c>
      <c r="L1086">
        <v>12</v>
      </c>
      <c r="M1086">
        <v>728.47</v>
      </c>
      <c r="N1086">
        <v>0.3</v>
      </c>
      <c r="O1086">
        <v>8741.64</v>
      </c>
      <c r="P1086">
        <v>2677.67</v>
      </c>
    </row>
    <row r="1087" spans="1:16" x14ac:dyDescent="0.35">
      <c r="A1087" t="s">
        <v>1408</v>
      </c>
      <c r="B1087" s="1">
        <v>45508</v>
      </c>
      <c r="C1087" s="1">
        <v>45514</v>
      </c>
      <c r="D1087" t="s">
        <v>59</v>
      </c>
      <c r="E1087" t="s">
        <v>1409</v>
      </c>
      <c r="F1087" t="s">
        <v>27</v>
      </c>
      <c r="G1087" t="s">
        <v>86</v>
      </c>
      <c r="H1087" t="s">
        <v>159</v>
      </c>
      <c r="I1087" t="s">
        <v>22</v>
      </c>
      <c r="J1087" t="s">
        <v>37</v>
      </c>
      <c r="K1087" t="s">
        <v>38</v>
      </c>
      <c r="L1087">
        <v>6</v>
      </c>
      <c r="M1087">
        <v>424.38</v>
      </c>
      <c r="N1087">
        <v>0.3</v>
      </c>
      <c r="O1087">
        <v>2546.2800000000002</v>
      </c>
      <c r="P1087">
        <v>558.23</v>
      </c>
    </row>
    <row r="1088" spans="1:16" x14ac:dyDescent="0.35">
      <c r="A1088" t="s">
        <v>1410</v>
      </c>
      <c r="B1088" s="1">
        <v>45387</v>
      </c>
      <c r="C1088" s="1">
        <v>45391</v>
      </c>
      <c r="D1088" t="s">
        <v>59</v>
      </c>
      <c r="E1088" t="s">
        <v>241</v>
      </c>
      <c r="F1088" t="s">
        <v>19</v>
      </c>
      <c r="G1088" t="s">
        <v>86</v>
      </c>
      <c r="H1088" t="s">
        <v>159</v>
      </c>
      <c r="I1088" t="s">
        <v>52</v>
      </c>
      <c r="J1088" t="s">
        <v>160</v>
      </c>
      <c r="K1088" t="s">
        <v>634</v>
      </c>
      <c r="L1088">
        <v>11</v>
      </c>
      <c r="M1088">
        <v>7.73</v>
      </c>
      <c r="N1088">
        <v>0</v>
      </c>
      <c r="O1088">
        <v>85.03</v>
      </c>
      <c r="P1088">
        <v>22.31</v>
      </c>
    </row>
    <row r="1089" spans="1:16" x14ac:dyDescent="0.35">
      <c r="A1089" t="s">
        <v>1411</v>
      </c>
      <c r="B1089" s="1">
        <v>45144</v>
      </c>
      <c r="C1089" s="1">
        <v>45149</v>
      </c>
      <c r="D1089" t="s">
        <v>65</v>
      </c>
      <c r="E1089" t="s">
        <v>408</v>
      </c>
      <c r="F1089" t="s">
        <v>27</v>
      </c>
      <c r="G1089" t="s">
        <v>90</v>
      </c>
      <c r="H1089" t="s">
        <v>73</v>
      </c>
      <c r="I1089" t="s">
        <v>30</v>
      </c>
      <c r="J1089" t="s">
        <v>41</v>
      </c>
      <c r="K1089" t="s">
        <v>124</v>
      </c>
      <c r="L1089">
        <v>12</v>
      </c>
      <c r="M1089">
        <v>115.06</v>
      </c>
      <c r="N1089">
        <v>0</v>
      </c>
      <c r="O1089">
        <v>1380.72</v>
      </c>
      <c r="P1089">
        <v>293.45</v>
      </c>
    </row>
    <row r="1090" spans="1:16" x14ac:dyDescent="0.35">
      <c r="A1090" t="s">
        <v>1412</v>
      </c>
      <c r="B1090" s="1">
        <v>45476</v>
      </c>
      <c r="C1090" s="1">
        <v>45479</v>
      </c>
      <c r="D1090" t="s">
        <v>44</v>
      </c>
      <c r="E1090" t="s">
        <v>455</v>
      </c>
      <c r="F1090" t="s">
        <v>27</v>
      </c>
      <c r="G1090" t="s">
        <v>111</v>
      </c>
      <c r="H1090" t="s">
        <v>129</v>
      </c>
      <c r="I1090" t="s">
        <v>22</v>
      </c>
      <c r="J1090" t="s">
        <v>37</v>
      </c>
      <c r="K1090" t="s">
        <v>38</v>
      </c>
      <c r="L1090">
        <v>2</v>
      </c>
      <c r="M1090">
        <v>832.54</v>
      </c>
      <c r="N1090">
        <v>0</v>
      </c>
      <c r="O1090">
        <v>1665.08</v>
      </c>
      <c r="P1090">
        <v>127.69</v>
      </c>
    </row>
    <row r="1091" spans="1:16" x14ac:dyDescent="0.35">
      <c r="A1091" t="s">
        <v>1413</v>
      </c>
      <c r="B1091" s="1">
        <v>45078</v>
      </c>
      <c r="C1091" s="1">
        <v>45080</v>
      </c>
      <c r="D1091" t="s">
        <v>17</v>
      </c>
      <c r="E1091" t="s">
        <v>570</v>
      </c>
      <c r="F1091" t="s">
        <v>35</v>
      </c>
      <c r="G1091" t="s">
        <v>20</v>
      </c>
      <c r="H1091" t="s">
        <v>21</v>
      </c>
      <c r="I1091" t="s">
        <v>30</v>
      </c>
      <c r="J1091" t="s">
        <v>41</v>
      </c>
      <c r="K1091" t="s">
        <v>191</v>
      </c>
      <c r="L1091">
        <v>2</v>
      </c>
      <c r="M1091">
        <v>298.08</v>
      </c>
      <c r="N1091">
        <v>0</v>
      </c>
      <c r="O1091">
        <v>596.16</v>
      </c>
      <c r="P1091">
        <v>187.33</v>
      </c>
    </row>
    <row r="1092" spans="1:16" x14ac:dyDescent="0.35">
      <c r="A1092" t="s">
        <v>1414</v>
      </c>
      <c r="B1092" s="1">
        <v>45543</v>
      </c>
      <c r="C1092" s="1">
        <v>45544</v>
      </c>
      <c r="D1092" t="s">
        <v>17</v>
      </c>
      <c r="E1092" t="s">
        <v>243</v>
      </c>
      <c r="F1092" t="s">
        <v>27</v>
      </c>
      <c r="G1092" t="s">
        <v>72</v>
      </c>
      <c r="H1092" t="s">
        <v>62</v>
      </c>
      <c r="I1092" t="s">
        <v>30</v>
      </c>
      <c r="J1092" t="s">
        <v>31</v>
      </c>
      <c r="K1092" t="s">
        <v>87</v>
      </c>
      <c r="L1092">
        <v>3</v>
      </c>
      <c r="M1092">
        <v>629.83000000000004</v>
      </c>
      <c r="N1092">
        <v>0</v>
      </c>
      <c r="O1092">
        <v>1889.49</v>
      </c>
      <c r="P1092">
        <v>-20.91</v>
      </c>
    </row>
    <row r="1093" spans="1:16" x14ac:dyDescent="0.35">
      <c r="A1093" t="s">
        <v>1415</v>
      </c>
      <c r="B1093" s="1">
        <v>45321</v>
      </c>
      <c r="C1093" s="1">
        <v>45327</v>
      </c>
      <c r="D1093" t="s">
        <v>59</v>
      </c>
      <c r="E1093" t="s">
        <v>625</v>
      </c>
      <c r="F1093" t="s">
        <v>35</v>
      </c>
      <c r="G1093" t="s">
        <v>132</v>
      </c>
      <c r="H1093" t="s">
        <v>112</v>
      </c>
      <c r="I1093" t="s">
        <v>30</v>
      </c>
      <c r="J1093" t="s">
        <v>99</v>
      </c>
      <c r="K1093" t="s">
        <v>100</v>
      </c>
      <c r="L1093">
        <v>7</v>
      </c>
      <c r="M1093">
        <v>820.55</v>
      </c>
      <c r="N1093">
        <v>0.1</v>
      </c>
      <c r="O1093">
        <v>5743.85</v>
      </c>
      <c r="P1093">
        <v>1442.47</v>
      </c>
    </row>
    <row r="1094" spans="1:16" x14ac:dyDescent="0.35">
      <c r="A1094" t="s">
        <v>1416</v>
      </c>
      <c r="B1094" s="1">
        <v>45130</v>
      </c>
      <c r="C1094" s="1">
        <v>45135</v>
      </c>
      <c r="D1094" t="s">
        <v>59</v>
      </c>
      <c r="E1094" t="s">
        <v>368</v>
      </c>
      <c r="F1094" t="s">
        <v>27</v>
      </c>
      <c r="G1094" t="s">
        <v>86</v>
      </c>
      <c r="H1094" t="s">
        <v>159</v>
      </c>
      <c r="I1094" t="s">
        <v>52</v>
      </c>
      <c r="J1094" t="s">
        <v>78</v>
      </c>
      <c r="K1094" t="s">
        <v>79</v>
      </c>
      <c r="L1094">
        <v>9</v>
      </c>
      <c r="M1094">
        <v>449.24</v>
      </c>
      <c r="N1094">
        <v>0</v>
      </c>
      <c r="O1094">
        <v>4043.16</v>
      </c>
      <c r="P1094">
        <v>784.79</v>
      </c>
    </row>
    <row r="1095" spans="1:16" x14ac:dyDescent="0.35">
      <c r="A1095" t="s">
        <v>1417</v>
      </c>
      <c r="B1095" s="1">
        <v>44934</v>
      </c>
      <c r="C1095" s="1">
        <v>44938</v>
      </c>
      <c r="D1095" t="s">
        <v>59</v>
      </c>
      <c r="E1095" t="s">
        <v>408</v>
      </c>
      <c r="F1095" t="s">
        <v>27</v>
      </c>
      <c r="G1095" t="s">
        <v>132</v>
      </c>
      <c r="H1095" t="s">
        <v>112</v>
      </c>
      <c r="I1095" t="s">
        <v>52</v>
      </c>
      <c r="J1095" t="s">
        <v>68</v>
      </c>
      <c r="K1095" t="s">
        <v>216</v>
      </c>
      <c r="L1095">
        <v>11</v>
      </c>
      <c r="M1095">
        <v>274.12</v>
      </c>
      <c r="N1095">
        <v>0.2</v>
      </c>
      <c r="O1095">
        <v>3015.32</v>
      </c>
      <c r="P1095">
        <v>-324.97000000000003</v>
      </c>
    </row>
    <row r="1096" spans="1:16" x14ac:dyDescent="0.35">
      <c r="A1096" t="s">
        <v>1418</v>
      </c>
      <c r="B1096" s="1">
        <v>45465</v>
      </c>
      <c r="C1096" s="1">
        <v>45472</v>
      </c>
      <c r="D1096" t="s">
        <v>59</v>
      </c>
      <c r="E1096" t="s">
        <v>901</v>
      </c>
      <c r="F1096" t="s">
        <v>19</v>
      </c>
      <c r="G1096" t="s">
        <v>20</v>
      </c>
      <c r="I1096" t="s">
        <v>22</v>
      </c>
      <c r="J1096" t="s">
        <v>37</v>
      </c>
      <c r="K1096" t="s">
        <v>38</v>
      </c>
      <c r="L1096">
        <v>6</v>
      </c>
      <c r="M1096">
        <v>127.12</v>
      </c>
      <c r="N1096">
        <v>0</v>
      </c>
      <c r="O1096">
        <v>762.72</v>
      </c>
      <c r="P1096">
        <v>164.88</v>
      </c>
    </row>
    <row r="1097" spans="1:16" x14ac:dyDescent="0.35">
      <c r="A1097" t="s">
        <v>1222</v>
      </c>
      <c r="B1097" s="1">
        <v>45473</v>
      </c>
      <c r="C1097" s="1">
        <v>45475</v>
      </c>
      <c r="D1097" t="s">
        <v>65</v>
      </c>
      <c r="E1097" t="s">
        <v>1419</v>
      </c>
      <c r="F1097" t="s">
        <v>27</v>
      </c>
      <c r="G1097" t="s">
        <v>20</v>
      </c>
      <c r="H1097" t="s">
        <v>21</v>
      </c>
      <c r="I1097" t="s">
        <v>52</v>
      </c>
      <c r="J1097" t="s">
        <v>194</v>
      </c>
      <c r="K1097" t="s">
        <v>306</v>
      </c>
      <c r="L1097">
        <v>4</v>
      </c>
      <c r="M1097">
        <v>483.46</v>
      </c>
      <c r="N1097">
        <v>0</v>
      </c>
      <c r="O1097">
        <v>1933.84</v>
      </c>
      <c r="P1097">
        <v>337.11</v>
      </c>
    </row>
    <row r="1098" spans="1:16" x14ac:dyDescent="0.35">
      <c r="A1098" t="s">
        <v>1292</v>
      </c>
      <c r="B1098" s="1">
        <v>45167</v>
      </c>
      <c r="C1098" s="1">
        <v>45174</v>
      </c>
      <c r="D1098" t="s">
        <v>17</v>
      </c>
      <c r="E1098" t="s">
        <v>283</v>
      </c>
      <c r="F1098" t="s">
        <v>19</v>
      </c>
      <c r="G1098" t="s">
        <v>90</v>
      </c>
      <c r="H1098" t="s">
        <v>62</v>
      </c>
      <c r="I1098" t="s">
        <v>22</v>
      </c>
      <c r="J1098" t="s">
        <v>74</v>
      </c>
      <c r="K1098" t="s">
        <v>75</v>
      </c>
      <c r="L1098">
        <v>3</v>
      </c>
      <c r="M1098">
        <v>131.81</v>
      </c>
      <c r="N1098">
        <v>0.2</v>
      </c>
      <c r="O1098">
        <v>395.43</v>
      </c>
      <c r="P1098">
        <v>70.680000000000007</v>
      </c>
    </row>
    <row r="1099" spans="1:16" x14ac:dyDescent="0.35">
      <c r="A1099" t="s">
        <v>1420</v>
      </c>
      <c r="B1099" s="1">
        <v>45482</v>
      </c>
      <c r="C1099" s="1">
        <v>45485</v>
      </c>
      <c r="D1099" t="s">
        <v>44</v>
      </c>
      <c r="E1099" t="s">
        <v>901</v>
      </c>
      <c r="F1099" t="s">
        <v>19</v>
      </c>
      <c r="G1099" t="s">
        <v>86</v>
      </c>
      <c r="H1099" t="s">
        <v>29</v>
      </c>
      <c r="I1099" t="s">
        <v>52</v>
      </c>
      <c r="J1099" t="s">
        <v>160</v>
      </c>
      <c r="K1099" t="s">
        <v>634</v>
      </c>
      <c r="L1099">
        <v>11</v>
      </c>
      <c r="M1099">
        <v>36.880000000000003</v>
      </c>
      <c r="N1099">
        <v>0</v>
      </c>
      <c r="O1099">
        <v>405.68</v>
      </c>
      <c r="P1099">
        <v>11.61</v>
      </c>
    </row>
    <row r="1100" spans="1:16" x14ac:dyDescent="0.35">
      <c r="A1100" t="s">
        <v>1421</v>
      </c>
      <c r="B1100" s="1">
        <v>45227</v>
      </c>
      <c r="C1100" s="1">
        <v>45229</v>
      </c>
      <c r="D1100" t="s">
        <v>17</v>
      </c>
      <c r="E1100" t="s">
        <v>737</v>
      </c>
      <c r="F1100" t="s">
        <v>27</v>
      </c>
      <c r="G1100" t="s">
        <v>128</v>
      </c>
      <c r="H1100" t="s">
        <v>112</v>
      </c>
      <c r="I1100" t="s">
        <v>30</v>
      </c>
      <c r="J1100" t="s">
        <v>31</v>
      </c>
      <c r="K1100" t="s">
        <v>57</v>
      </c>
      <c r="L1100">
        <v>2</v>
      </c>
      <c r="M1100">
        <v>212.47</v>
      </c>
      <c r="N1100">
        <v>0</v>
      </c>
      <c r="O1100">
        <v>424.94</v>
      </c>
      <c r="P1100">
        <v>68.19</v>
      </c>
    </row>
    <row r="1101" spans="1:16" x14ac:dyDescent="0.35">
      <c r="A1101" t="s">
        <v>1422</v>
      </c>
      <c r="B1101" s="1">
        <v>45086</v>
      </c>
      <c r="C1101" s="1">
        <v>45091</v>
      </c>
      <c r="D1101" t="s">
        <v>17</v>
      </c>
      <c r="E1101" t="s">
        <v>126</v>
      </c>
      <c r="F1101" t="s">
        <v>27</v>
      </c>
      <c r="G1101" t="s">
        <v>72</v>
      </c>
      <c r="H1101" t="s">
        <v>62</v>
      </c>
      <c r="I1101" t="s">
        <v>22</v>
      </c>
      <c r="J1101" t="s">
        <v>37</v>
      </c>
      <c r="K1101" t="s">
        <v>144</v>
      </c>
      <c r="L1101">
        <v>9</v>
      </c>
      <c r="M1101">
        <v>670.93</v>
      </c>
      <c r="N1101">
        <v>0</v>
      </c>
      <c r="O1101">
        <v>6038.37</v>
      </c>
      <c r="P1101">
        <v>227.3</v>
      </c>
    </row>
    <row r="1102" spans="1:16" x14ac:dyDescent="0.35">
      <c r="A1102" t="s">
        <v>1423</v>
      </c>
      <c r="B1102" s="1">
        <v>45043</v>
      </c>
      <c r="C1102" s="1">
        <v>45050</v>
      </c>
      <c r="D1102" t="s">
        <v>65</v>
      </c>
      <c r="E1102" t="s">
        <v>558</v>
      </c>
      <c r="F1102" t="s">
        <v>35</v>
      </c>
      <c r="G1102" t="s">
        <v>128</v>
      </c>
      <c r="H1102" t="s">
        <v>112</v>
      </c>
      <c r="I1102" t="s">
        <v>22</v>
      </c>
      <c r="J1102" t="s">
        <v>37</v>
      </c>
      <c r="K1102" t="s">
        <v>38</v>
      </c>
      <c r="L1102">
        <v>5</v>
      </c>
      <c r="M1102">
        <v>708.02</v>
      </c>
      <c r="N1102">
        <v>0</v>
      </c>
      <c r="O1102">
        <v>3540.1</v>
      </c>
      <c r="P1102">
        <v>865.55</v>
      </c>
    </row>
    <row r="1103" spans="1:16" x14ac:dyDescent="0.35">
      <c r="A1103" t="s">
        <v>1424</v>
      </c>
      <c r="B1103" s="1">
        <v>45132</v>
      </c>
      <c r="C1103" s="1">
        <v>45134</v>
      </c>
      <c r="D1103" t="s">
        <v>44</v>
      </c>
      <c r="E1103" t="s">
        <v>163</v>
      </c>
      <c r="F1103" t="s">
        <v>35</v>
      </c>
      <c r="G1103" t="s">
        <v>51</v>
      </c>
      <c r="H1103" t="s">
        <v>36</v>
      </c>
      <c r="I1103" t="s">
        <v>52</v>
      </c>
      <c r="J1103" t="s">
        <v>160</v>
      </c>
      <c r="K1103" t="s">
        <v>634</v>
      </c>
      <c r="L1103">
        <v>5</v>
      </c>
      <c r="M1103">
        <v>107.44</v>
      </c>
      <c r="N1103">
        <v>0.15</v>
      </c>
      <c r="O1103">
        <v>537.20000000000005</v>
      </c>
      <c r="P1103">
        <v>69.739999999999995</v>
      </c>
    </row>
    <row r="1104" spans="1:16" x14ac:dyDescent="0.35">
      <c r="A1104" t="s">
        <v>1425</v>
      </c>
      <c r="B1104" s="1">
        <v>45639</v>
      </c>
      <c r="C1104" s="1">
        <v>45646</v>
      </c>
      <c r="D1104" t="s">
        <v>65</v>
      </c>
      <c r="E1104" t="s">
        <v>637</v>
      </c>
      <c r="F1104" t="s">
        <v>27</v>
      </c>
      <c r="G1104" t="s">
        <v>67</v>
      </c>
      <c r="H1104" t="s">
        <v>21</v>
      </c>
      <c r="I1104" t="s">
        <v>22</v>
      </c>
      <c r="J1104" t="s">
        <v>37</v>
      </c>
      <c r="K1104" t="s">
        <v>144</v>
      </c>
      <c r="L1104">
        <v>8</v>
      </c>
      <c r="M1104">
        <v>564.03</v>
      </c>
      <c r="N1104">
        <v>0</v>
      </c>
      <c r="O1104">
        <v>4512.24</v>
      </c>
      <c r="P1104">
        <v>55.76</v>
      </c>
    </row>
    <row r="1105" spans="1:16" x14ac:dyDescent="0.35">
      <c r="A1105" t="s">
        <v>1426</v>
      </c>
      <c r="B1105" s="1">
        <v>45259</v>
      </c>
      <c r="C1105" s="1">
        <v>45261</v>
      </c>
      <c r="D1105" t="s">
        <v>59</v>
      </c>
      <c r="E1105" t="s">
        <v>285</v>
      </c>
      <c r="F1105" t="s">
        <v>27</v>
      </c>
      <c r="G1105" t="s">
        <v>288</v>
      </c>
      <c r="H1105" t="s">
        <v>129</v>
      </c>
      <c r="I1105" t="s">
        <v>52</v>
      </c>
      <c r="J1105" t="s">
        <v>68</v>
      </c>
      <c r="K1105" t="s">
        <v>216</v>
      </c>
      <c r="L1105">
        <v>9</v>
      </c>
      <c r="M1105">
        <v>14.09</v>
      </c>
      <c r="N1105">
        <v>0</v>
      </c>
      <c r="O1105">
        <v>126.81</v>
      </c>
      <c r="P1105">
        <v>-13.59</v>
      </c>
    </row>
    <row r="1106" spans="1:16" x14ac:dyDescent="0.35">
      <c r="A1106" t="s">
        <v>1427</v>
      </c>
      <c r="B1106" s="1">
        <v>45047</v>
      </c>
      <c r="C1106" s="1">
        <v>45053</v>
      </c>
      <c r="D1106" t="s">
        <v>65</v>
      </c>
      <c r="E1106" t="s">
        <v>901</v>
      </c>
      <c r="F1106" t="s">
        <v>27</v>
      </c>
      <c r="G1106" t="s">
        <v>288</v>
      </c>
      <c r="H1106" t="s">
        <v>112</v>
      </c>
      <c r="I1106" t="s">
        <v>52</v>
      </c>
      <c r="J1106" t="s">
        <v>194</v>
      </c>
      <c r="K1106" t="s">
        <v>195</v>
      </c>
      <c r="L1106">
        <v>7</v>
      </c>
      <c r="M1106">
        <v>422.29</v>
      </c>
      <c r="N1106">
        <v>0.2</v>
      </c>
      <c r="O1106">
        <v>2956.03</v>
      </c>
      <c r="P1106">
        <v>87.59</v>
      </c>
    </row>
    <row r="1107" spans="1:16" x14ac:dyDescent="0.35">
      <c r="A1107" t="s">
        <v>1428</v>
      </c>
      <c r="B1107" s="1">
        <v>45265</v>
      </c>
      <c r="C1107" s="1">
        <v>45272</v>
      </c>
      <c r="D1107" t="s">
        <v>17</v>
      </c>
      <c r="E1107" t="s">
        <v>314</v>
      </c>
      <c r="F1107" t="s">
        <v>35</v>
      </c>
      <c r="G1107" t="s">
        <v>45</v>
      </c>
      <c r="H1107" t="s">
        <v>123</v>
      </c>
      <c r="I1107" t="s">
        <v>30</v>
      </c>
      <c r="J1107" t="s">
        <v>99</v>
      </c>
      <c r="K1107" t="s">
        <v>247</v>
      </c>
      <c r="L1107">
        <v>2</v>
      </c>
      <c r="M1107">
        <v>647.84</v>
      </c>
      <c r="N1107">
        <v>0</v>
      </c>
      <c r="O1107">
        <v>1295.68</v>
      </c>
      <c r="P1107">
        <v>-191.86</v>
      </c>
    </row>
    <row r="1108" spans="1:16" x14ac:dyDescent="0.35">
      <c r="A1108" t="s">
        <v>220</v>
      </c>
      <c r="B1108" s="1">
        <v>45300</v>
      </c>
      <c r="C1108" s="1">
        <v>45301</v>
      </c>
      <c r="D1108" t="s">
        <v>65</v>
      </c>
      <c r="E1108" t="s">
        <v>221</v>
      </c>
      <c r="F1108" t="s">
        <v>27</v>
      </c>
      <c r="G1108" t="s">
        <v>28</v>
      </c>
      <c r="H1108" t="s">
        <v>29</v>
      </c>
      <c r="I1108" t="s">
        <v>30</v>
      </c>
      <c r="J1108" t="s">
        <v>99</v>
      </c>
      <c r="K1108" t="s">
        <v>100</v>
      </c>
      <c r="L1108">
        <v>5</v>
      </c>
      <c r="M1108">
        <v>436.01</v>
      </c>
      <c r="N1108">
        <v>0</v>
      </c>
      <c r="O1108">
        <v>2180.0500000000002</v>
      </c>
      <c r="P1108">
        <v>52.92</v>
      </c>
    </row>
    <row r="1109" spans="1:16" x14ac:dyDescent="0.35">
      <c r="A1109" t="s">
        <v>1429</v>
      </c>
      <c r="B1109" s="1">
        <v>45365</v>
      </c>
      <c r="C1109" s="1">
        <v>45369</v>
      </c>
      <c r="D1109" t="s">
        <v>17</v>
      </c>
      <c r="E1109" t="s">
        <v>450</v>
      </c>
      <c r="F1109" t="s">
        <v>27</v>
      </c>
      <c r="G1109" t="s">
        <v>332</v>
      </c>
      <c r="H1109" t="s">
        <v>46</v>
      </c>
      <c r="I1109" t="s">
        <v>22</v>
      </c>
      <c r="J1109" t="s">
        <v>23</v>
      </c>
      <c r="K1109" t="s">
        <v>289</v>
      </c>
      <c r="L1109">
        <v>10</v>
      </c>
      <c r="M1109">
        <v>707.45</v>
      </c>
      <c r="N1109">
        <v>0.2</v>
      </c>
      <c r="O1109">
        <v>7074.5</v>
      </c>
      <c r="P1109">
        <v>723.85</v>
      </c>
    </row>
    <row r="1110" spans="1:16" x14ac:dyDescent="0.35">
      <c r="A1110" t="s">
        <v>1430</v>
      </c>
      <c r="B1110" s="1">
        <v>45591</v>
      </c>
      <c r="C1110" s="1">
        <v>45592</v>
      </c>
      <c r="D1110" t="s">
        <v>44</v>
      </c>
      <c r="E1110" t="s">
        <v>213</v>
      </c>
      <c r="F1110" t="s">
        <v>19</v>
      </c>
      <c r="G1110" t="s">
        <v>82</v>
      </c>
      <c r="H1110" t="s">
        <v>46</v>
      </c>
      <c r="I1110" t="s">
        <v>30</v>
      </c>
      <c r="J1110" t="s">
        <v>99</v>
      </c>
      <c r="K1110" t="s">
        <v>100</v>
      </c>
      <c r="L1110">
        <v>2</v>
      </c>
      <c r="M1110">
        <v>350.36</v>
      </c>
      <c r="O1110">
        <v>700.72</v>
      </c>
      <c r="P1110">
        <v>148.54</v>
      </c>
    </row>
    <row r="1111" spans="1:16" x14ac:dyDescent="0.35">
      <c r="A1111" t="s">
        <v>1431</v>
      </c>
      <c r="B1111" s="1">
        <v>45555</v>
      </c>
      <c r="C1111" s="1">
        <v>45558</v>
      </c>
      <c r="D1111" t="s">
        <v>65</v>
      </c>
      <c r="E1111" t="s">
        <v>395</v>
      </c>
      <c r="F1111" t="s">
        <v>35</v>
      </c>
      <c r="G1111" t="s">
        <v>111</v>
      </c>
      <c r="H1111" t="s">
        <v>112</v>
      </c>
      <c r="I1111" t="s">
        <v>30</v>
      </c>
      <c r="J1111" t="s">
        <v>31</v>
      </c>
      <c r="K1111" t="s">
        <v>32</v>
      </c>
      <c r="L1111">
        <v>10</v>
      </c>
      <c r="M1111">
        <v>153.25</v>
      </c>
      <c r="N1111">
        <v>0</v>
      </c>
      <c r="O1111">
        <v>1532.5</v>
      </c>
      <c r="P1111">
        <v>473.26</v>
      </c>
    </row>
    <row r="1112" spans="1:16" x14ac:dyDescent="0.35">
      <c r="A1112" t="s">
        <v>1236</v>
      </c>
      <c r="B1112" s="1">
        <v>45183</v>
      </c>
      <c r="C1112" s="1">
        <v>45186</v>
      </c>
      <c r="D1112" t="s">
        <v>59</v>
      </c>
      <c r="E1112" t="s">
        <v>149</v>
      </c>
      <c r="F1112" t="s">
        <v>27</v>
      </c>
      <c r="G1112" t="s">
        <v>132</v>
      </c>
      <c r="H1112" t="s">
        <v>112</v>
      </c>
      <c r="I1112" t="s">
        <v>52</v>
      </c>
      <c r="J1112" t="s">
        <v>53</v>
      </c>
      <c r="K1112" t="s">
        <v>91</v>
      </c>
      <c r="L1112">
        <v>5</v>
      </c>
      <c r="M1112">
        <v>575.20000000000005</v>
      </c>
      <c r="N1112">
        <v>0</v>
      </c>
      <c r="O1112">
        <v>2876</v>
      </c>
      <c r="P1112">
        <v>953.45</v>
      </c>
    </row>
    <row r="1113" spans="1:16" x14ac:dyDescent="0.35">
      <c r="A1113" t="s">
        <v>1432</v>
      </c>
      <c r="B1113" s="1">
        <v>45525</v>
      </c>
      <c r="C1113" s="1">
        <v>45529</v>
      </c>
      <c r="D1113" t="s">
        <v>17</v>
      </c>
      <c r="E1113" t="s">
        <v>197</v>
      </c>
      <c r="F1113" t="s">
        <v>35</v>
      </c>
      <c r="G1113" t="s">
        <v>90</v>
      </c>
      <c r="H1113" t="s">
        <v>62</v>
      </c>
      <c r="I1113" t="s">
        <v>22</v>
      </c>
      <c r="J1113" t="s">
        <v>23</v>
      </c>
      <c r="K1113" t="s">
        <v>178</v>
      </c>
      <c r="L1113">
        <v>10</v>
      </c>
      <c r="M1113">
        <v>311.89999999999998</v>
      </c>
      <c r="N1113">
        <v>0</v>
      </c>
      <c r="O1113">
        <v>3119</v>
      </c>
      <c r="P1113">
        <v>1045.29</v>
      </c>
    </row>
    <row r="1114" spans="1:16" x14ac:dyDescent="0.35">
      <c r="A1114" t="s">
        <v>1433</v>
      </c>
      <c r="B1114" s="1">
        <v>45150</v>
      </c>
      <c r="C1114" s="1">
        <v>45154</v>
      </c>
      <c r="D1114" t="s">
        <v>44</v>
      </c>
      <c r="E1114" t="s">
        <v>807</v>
      </c>
      <c r="F1114" t="s">
        <v>27</v>
      </c>
      <c r="G1114" t="s">
        <v>20</v>
      </c>
      <c r="H1114" t="s">
        <v>21</v>
      </c>
      <c r="I1114" t="s">
        <v>22</v>
      </c>
      <c r="J1114" t="s">
        <v>23</v>
      </c>
      <c r="K1114" t="s">
        <v>24</v>
      </c>
      <c r="L1114">
        <v>10</v>
      </c>
      <c r="M1114">
        <v>294.08</v>
      </c>
      <c r="N1114">
        <v>0.15</v>
      </c>
      <c r="O1114">
        <v>2940.8</v>
      </c>
      <c r="P1114">
        <v>114.56</v>
      </c>
    </row>
    <row r="1115" spans="1:16" x14ac:dyDescent="0.35">
      <c r="A1115" t="s">
        <v>1434</v>
      </c>
      <c r="B1115" s="1">
        <v>45237</v>
      </c>
      <c r="C1115" s="1">
        <v>45239</v>
      </c>
      <c r="D1115" t="s">
        <v>17</v>
      </c>
      <c r="E1115" t="s">
        <v>807</v>
      </c>
      <c r="F1115" t="s">
        <v>27</v>
      </c>
      <c r="G1115" t="s">
        <v>128</v>
      </c>
      <c r="H1115" t="s">
        <v>112</v>
      </c>
      <c r="I1115" t="s">
        <v>30</v>
      </c>
      <c r="J1115" t="s">
        <v>47</v>
      </c>
      <c r="K1115" t="s">
        <v>94</v>
      </c>
      <c r="L1115">
        <v>2</v>
      </c>
      <c r="M1115">
        <v>751.57</v>
      </c>
      <c r="N1115">
        <v>0.1</v>
      </c>
      <c r="O1115">
        <v>1503.14</v>
      </c>
      <c r="P1115">
        <v>-206.36</v>
      </c>
    </row>
    <row r="1116" spans="1:16" x14ac:dyDescent="0.35">
      <c r="A1116" t="s">
        <v>1435</v>
      </c>
      <c r="B1116" s="1">
        <v>45347</v>
      </c>
      <c r="C1116" s="1">
        <v>45351</v>
      </c>
      <c r="E1116" t="s">
        <v>574</v>
      </c>
      <c r="F1116" t="s">
        <v>27</v>
      </c>
      <c r="G1116" t="s">
        <v>90</v>
      </c>
      <c r="H1116" t="s">
        <v>62</v>
      </c>
      <c r="I1116" t="s">
        <v>22</v>
      </c>
      <c r="J1116" t="s">
        <v>23</v>
      </c>
      <c r="K1116" t="s">
        <v>289</v>
      </c>
      <c r="L1116">
        <v>7</v>
      </c>
      <c r="M1116">
        <v>321.08999999999997</v>
      </c>
      <c r="N1116">
        <v>0.3</v>
      </c>
      <c r="O1116">
        <v>2247.63</v>
      </c>
      <c r="P1116">
        <v>411.16</v>
      </c>
    </row>
    <row r="1117" spans="1:16" x14ac:dyDescent="0.35">
      <c r="A1117" t="s">
        <v>1436</v>
      </c>
      <c r="B1117" s="1">
        <v>45276</v>
      </c>
      <c r="C1117" s="1">
        <v>45279</v>
      </c>
      <c r="D1117" t="s">
        <v>65</v>
      </c>
      <c r="E1117" t="s">
        <v>274</v>
      </c>
      <c r="F1117" t="s">
        <v>35</v>
      </c>
      <c r="G1117" t="s">
        <v>332</v>
      </c>
      <c r="H1117" t="s">
        <v>46</v>
      </c>
      <c r="I1117" t="s">
        <v>30</v>
      </c>
      <c r="J1117" t="s">
        <v>31</v>
      </c>
      <c r="K1117" t="s">
        <v>57</v>
      </c>
      <c r="L1117">
        <v>12</v>
      </c>
      <c r="M1117">
        <v>623.84</v>
      </c>
      <c r="N1117">
        <v>0.3</v>
      </c>
      <c r="O1117">
        <v>7486.08</v>
      </c>
      <c r="P1117">
        <v>701.09</v>
      </c>
    </row>
    <row r="1118" spans="1:16" x14ac:dyDescent="0.35">
      <c r="A1118" t="s">
        <v>1437</v>
      </c>
      <c r="B1118" s="1">
        <v>45521</v>
      </c>
      <c r="C1118" s="1">
        <v>45523</v>
      </c>
      <c r="D1118" t="s">
        <v>44</v>
      </c>
      <c r="E1118" t="s">
        <v>151</v>
      </c>
      <c r="F1118" t="s">
        <v>27</v>
      </c>
      <c r="G1118" t="s">
        <v>90</v>
      </c>
      <c r="H1118" t="s">
        <v>73</v>
      </c>
      <c r="I1118" t="s">
        <v>30</v>
      </c>
      <c r="J1118" t="s">
        <v>31</v>
      </c>
      <c r="K1118" t="s">
        <v>87</v>
      </c>
      <c r="L1118">
        <v>9</v>
      </c>
      <c r="M1118">
        <v>592.21</v>
      </c>
      <c r="N1118">
        <v>0</v>
      </c>
      <c r="O1118">
        <v>5329.89</v>
      </c>
      <c r="P1118">
        <v>1026.23</v>
      </c>
    </row>
    <row r="1119" spans="1:16" x14ac:dyDescent="0.35">
      <c r="A1119" t="s">
        <v>1438</v>
      </c>
      <c r="B1119" s="1">
        <v>45143</v>
      </c>
      <c r="C1119" s="1">
        <v>45150</v>
      </c>
      <c r="D1119" t="s">
        <v>44</v>
      </c>
      <c r="E1119" t="s">
        <v>383</v>
      </c>
      <c r="F1119" t="s">
        <v>35</v>
      </c>
      <c r="G1119" t="s">
        <v>132</v>
      </c>
      <c r="H1119" t="s">
        <v>129</v>
      </c>
      <c r="I1119" t="s">
        <v>30</v>
      </c>
      <c r="J1119" t="s">
        <v>99</v>
      </c>
      <c r="K1119" t="s">
        <v>100</v>
      </c>
      <c r="L1119">
        <v>7</v>
      </c>
      <c r="M1119">
        <v>126.41</v>
      </c>
      <c r="N1119">
        <v>0.3</v>
      </c>
      <c r="O1119">
        <v>884.87</v>
      </c>
      <c r="P1119">
        <v>99.23</v>
      </c>
    </row>
    <row r="1120" spans="1:16" x14ac:dyDescent="0.35">
      <c r="A1120" t="s">
        <v>1439</v>
      </c>
      <c r="B1120" s="1">
        <v>45616</v>
      </c>
      <c r="C1120" s="1">
        <v>45617</v>
      </c>
      <c r="D1120" t="s">
        <v>44</v>
      </c>
      <c r="E1120" t="s">
        <v>218</v>
      </c>
      <c r="F1120" t="s">
        <v>19</v>
      </c>
      <c r="G1120" t="s">
        <v>86</v>
      </c>
      <c r="H1120" t="s">
        <v>29</v>
      </c>
      <c r="I1120" t="s">
        <v>52</v>
      </c>
      <c r="J1120" t="s">
        <v>194</v>
      </c>
      <c r="K1120" t="s">
        <v>195</v>
      </c>
      <c r="L1120">
        <v>2</v>
      </c>
      <c r="M1120">
        <v>686.46</v>
      </c>
      <c r="N1120">
        <v>0</v>
      </c>
      <c r="O1120">
        <v>1372.92</v>
      </c>
      <c r="P1120">
        <v>-121.08</v>
      </c>
    </row>
    <row r="1121" spans="1:16" x14ac:dyDescent="0.35">
      <c r="A1121" t="s">
        <v>1440</v>
      </c>
      <c r="B1121" s="1">
        <v>45412</v>
      </c>
      <c r="C1121" s="1">
        <v>45413</v>
      </c>
      <c r="D1121" t="s">
        <v>44</v>
      </c>
      <c r="E1121" t="s">
        <v>207</v>
      </c>
      <c r="F1121" t="s">
        <v>27</v>
      </c>
      <c r="G1121" t="s">
        <v>181</v>
      </c>
      <c r="H1121" t="s">
        <v>123</v>
      </c>
      <c r="I1121" t="s">
        <v>52</v>
      </c>
      <c r="J1121" t="s">
        <v>160</v>
      </c>
      <c r="K1121" t="s">
        <v>161</v>
      </c>
      <c r="L1121">
        <v>9</v>
      </c>
      <c r="M1121">
        <v>58.68</v>
      </c>
      <c r="N1121">
        <v>0.15</v>
      </c>
      <c r="O1121">
        <v>528.12</v>
      </c>
      <c r="P1121">
        <v>69.099999999999994</v>
      </c>
    </row>
    <row r="1122" spans="1:16" x14ac:dyDescent="0.35">
      <c r="A1122" t="s">
        <v>1441</v>
      </c>
      <c r="B1122" s="1">
        <v>45235</v>
      </c>
      <c r="C1122" s="1">
        <v>45238</v>
      </c>
      <c r="D1122" t="s">
        <v>17</v>
      </c>
      <c r="E1122" t="s">
        <v>225</v>
      </c>
      <c r="F1122" t="s">
        <v>35</v>
      </c>
      <c r="G1122" t="s">
        <v>20</v>
      </c>
      <c r="H1122" t="s">
        <v>36</v>
      </c>
      <c r="I1122" t="s">
        <v>30</v>
      </c>
      <c r="J1122" t="s">
        <v>41</v>
      </c>
      <c r="K1122" t="s">
        <v>191</v>
      </c>
      <c r="L1122">
        <v>6</v>
      </c>
      <c r="M1122">
        <v>702.03</v>
      </c>
      <c r="N1122">
        <v>0.1</v>
      </c>
      <c r="O1122">
        <v>4212.18</v>
      </c>
      <c r="P1122">
        <v>84.9</v>
      </c>
    </row>
    <row r="1123" spans="1:16" x14ac:dyDescent="0.35">
      <c r="A1123" t="s">
        <v>1442</v>
      </c>
      <c r="B1123" s="1">
        <v>45585</v>
      </c>
      <c r="C1123" s="1">
        <v>45592</v>
      </c>
      <c r="D1123" t="s">
        <v>65</v>
      </c>
      <c r="E1123" t="s">
        <v>386</v>
      </c>
      <c r="F1123" t="s">
        <v>35</v>
      </c>
      <c r="G1123" t="s">
        <v>72</v>
      </c>
      <c r="H1123" t="s">
        <v>73</v>
      </c>
      <c r="I1123" t="s">
        <v>52</v>
      </c>
      <c r="J1123" t="s">
        <v>68</v>
      </c>
      <c r="K1123" t="s">
        <v>216</v>
      </c>
      <c r="L1123">
        <v>6</v>
      </c>
      <c r="M1123">
        <v>821.85</v>
      </c>
      <c r="N1123">
        <v>0.15</v>
      </c>
      <c r="O1123">
        <v>4931.1000000000004</v>
      </c>
      <c r="P1123">
        <v>53.27</v>
      </c>
    </row>
    <row r="1124" spans="1:16" x14ac:dyDescent="0.35">
      <c r="A1124" t="s">
        <v>1443</v>
      </c>
      <c r="B1124" s="1">
        <v>45523</v>
      </c>
      <c r="C1124" s="1">
        <v>45524</v>
      </c>
      <c r="D1124" t="s">
        <v>59</v>
      </c>
      <c r="E1124" t="s">
        <v>750</v>
      </c>
      <c r="F1124" t="s">
        <v>35</v>
      </c>
      <c r="G1124" t="s">
        <v>107</v>
      </c>
      <c r="H1124" t="s">
        <v>123</v>
      </c>
      <c r="I1124" t="s">
        <v>30</v>
      </c>
      <c r="J1124" t="s">
        <v>41</v>
      </c>
      <c r="K1124" t="s">
        <v>124</v>
      </c>
      <c r="L1124">
        <v>9</v>
      </c>
      <c r="M1124">
        <v>778.72</v>
      </c>
      <c r="N1124">
        <v>0</v>
      </c>
      <c r="O1124">
        <v>7008.48</v>
      </c>
      <c r="P1124">
        <v>-401.92</v>
      </c>
    </row>
    <row r="1125" spans="1:16" x14ac:dyDescent="0.35">
      <c r="A1125" t="s">
        <v>1444</v>
      </c>
      <c r="B1125" s="1">
        <v>45051</v>
      </c>
      <c r="C1125" s="1">
        <v>45054</v>
      </c>
      <c r="D1125" t="s">
        <v>65</v>
      </c>
      <c r="E1125" t="s">
        <v>533</v>
      </c>
      <c r="F1125" t="s">
        <v>27</v>
      </c>
      <c r="G1125" t="s">
        <v>72</v>
      </c>
      <c r="H1125" t="s">
        <v>73</v>
      </c>
      <c r="I1125" t="s">
        <v>52</v>
      </c>
      <c r="J1125" t="s">
        <v>68</v>
      </c>
      <c r="K1125" t="s">
        <v>216</v>
      </c>
      <c r="L1125">
        <v>12</v>
      </c>
      <c r="M1125">
        <v>405</v>
      </c>
      <c r="N1125">
        <v>0</v>
      </c>
      <c r="O1125">
        <v>4860</v>
      </c>
      <c r="P1125">
        <v>197</v>
      </c>
    </row>
    <row r="1126" spans="1:16" x14ac:dyDescent="0.35">
      <c r="A1126" t="s">
        <v>1445</v>
      </c>
      <c r="B1126" s="1">
        <v>45017</v>
      </c>
      <c r="C1126" s="1">
        <v>45024</v>
      </c>
      <c r="D1126" t="s">
        <v>59</v>
      </c>
      <c r="E1126" t="s">
        <v>375</v>
      </c>
      <c r="F1126" t="s">
        <v>27</v>
      </c>
      <c r="G1126" t="s">
        <v>51</v>
      </c>
      <c r="H1126" t="s">
        <v>21</v>
      </c>
      <c r="I1126" t="s">
        <v>52</v>
      </c>
      <c r="J1126" t="s">
        <v>194</v>
      </c>
      <c r="K1126" t="s">
        <v>361</v>
      </c>
      <c r="L1126">
        <v>5</v>
      </c>
      <c r="M1126">
        <v>709.38</v>
      </c>
      <c r="N1126">
        <v>0.2</v>
      </c>
      <c r="O1126">
        <v>3546.9</v>
      </c>
      <c r="P1126">
        <v>-529.76</v>
      </c>
    </row>
    <row r="1127" spans="1:16" x14ac:dyDescent="0.35">
      <c r="A1127" t="s">
        <v>1446</v>
      </c>
      <c r="B1127" s="1">
        <v>45236</v>
      </c>
      <c r="C1127" s="1">
        <v>45242</v>
      </c>
      <c r="D1127" t="s">
        <v>44</v>
      </c>
      <c r="E1127" t="s">
        <v>110</v>
      </c>
      <c r="F1127" t="s">
        <v>27</v>
      </c>
      <c r="H1127" t="s">
        <v>21</v>
      </c>
      <c r="I1127" t="s">
        <v>22</v>
      </c>
      <c r="J1127" t="s">
        <v>115</v>
      </c>
      <c r="K1127" t="s">
        <v>147</v>
      </c>
      <c r="L1127">
        <v>6</v>
      </c>
      <c r="M1127">
        <v>705.9</v>
      </c>
      <c r="N1127">
        <v>0.1</v>
      </c>
      <c r="O1127">
        <v>4235.3999999999996</v>
      </c>
    </row>
    <row r="1128" spans="1:16" x14ac:dyDescent="0.35">
      <c r="A1128" t="s">
        <v>1447</v>
      </c>
      <c r="B1128" s="1">
        <v>45149</v>
      </c>
      <c r="C1128" s="1">
        <v>45155</v>
      </c>
      <c r="D1128" t="s">
        <v>17</v>
      </c>
      <c r="E1128" t="s">
        <v>281</v>
      </c>
      <c r="F1128" t="s">
        <v>27</v>
      </c>
      <c r="G1128" t="s">
        <v>86</v>
      </c>
      <c r="H1128" t="s">
        <v>159</v>
      </c>
      <c r="I1128" t="s">
        <v>22</v>
      </c>
      <c r="J1128" t="s">
        <v>74</v>
      </c>
      <c r="K1128" t="s">
        <v>253</v>
      </c>
      <c r="L1128">
        <v>9</v>
      </c>
      <c r="M1128">
        <v>766.91</v>
      </c>
      <c r="N1128">
        <v>0.1</v>
      </c>
      <c r="O1128">
        <v>6902.19</v>
      </c>
      <c r="P1128">
        <v>229.37</v>
      </c>
    </row>
    <row r="1129" spans="1:16" x14ac:dyDescent="0.35">
      <c r="A1129" t="s">
        <v>1448</v>
      </c>
      <c r="B1129" s="1">
        <v>45348</v>
      </c>
      <c r="C1129" s="1">
        <v>45355</v>
      </c>
      <c r="D1129" t="s">
        <v>44</v>
      </c>
      <c r="E1129" t="s">
        <v>204</v>
      </c>
      <c r="F1129" t="s">
        <v>35</v>
      </c>
      <c r="G1129" t="s">
        <v>103</v>
      </c>
      <c r="H1129" t="s">
        <v>62</v>
      </c>
      <c r="I1129" t="s">
        <v>30</v>
      </c>
      <c r="J1129" t="s">
        <v>41</v>
      </c>
      <c r="K1129" t="s">
        <v>124</v>
      </c>
      <c r="L1129">
        <v>3</v>
      </c>
      <c r="M1129">
        <v>231.23</v>
      </c>
      <c r="N1129">
        <v>0.15</v>
      </c>
      <c r="O1129">
        <v>693.69</v>
      </c>
      <c r="P1129">
        <v>-88.57</v>
      </c>
    </row>
    <row r="1130" spans="1:16" x14ac:dyDescent="0.35">
      <c r="A1130" t="s">
        <v>1449</v>
      </c>
      <c r="B1130" s="1">
        <v>45203</v>
      </c>
      <c r="C1130" s="1">
        <v>45206</v>
      </c>
      <c r="D1130" t="s">
        <v>17</v>
      </c>
      <c r="E1130" t="s">
        <v>66</v>
      </c>
      <c r="F1130" t="s">
        <v>27</v>
      </c>
      <c r="G1130" t="s">
        <v>82</v>
      </c>
      <c r="H1130" t="s">
        <v>83</v>
      </c>
      <c r="I1130" t="s">
        <v>22</v>
      </c>
      <c r="J1130" t="s">
        <v>37</v>
      </c>
      <c r="K1130" t="s">
        <v>144</v>
      </c>
      <c r="L1130">
        <v>4</v>
      </c>
      <c r="M1130">
        <v>470.36</v>
      </c>
      <c r="N1130">
        <v>0.2</v>
      </c>
      <c r="O1130">
        <v>1881.44</v>
      </c>
      <c r="P1130">
        <v>367.14</v>
      </c>
    </row>
    <row r="1131" spans="1:16" x14ac:dyDescent="0.35">
      <c r="A1131" t="s">
        <v>1450</v>
      </c>
      <c r="B1131" s="1">
        <v>45589</v>
      </c>
      <c r="C1131" s="1">
        <v>45594</v>
      </c>
      <c r="D1131" t="s">
        <v>17</v>
      </c>
      <c r="E1131" t="s">
        <v>276</v>
      </c>
      <c r="F1131" t="s">
        <v>27</v>
      </c>
      <c r="G1131" t="s">
        <v>45</v>
      </c>
      <c r="H1131" t="s">
        <v>83</v>
      </c>
      <c r="I1131" t="s">
        <v>22</v>
      </c>
      <c r="J1131" t="s">
        <v>37</v>
      </c>
      <c r="K1131" t="s">
        <v>144</v>
      </c>
      <c r="L1131">
        <v>1</v>
      </c>
      <c r="M1131">
        <v>93.25</v>
      </c>
      <c r="N1131">
        <v>0</v>
      </c>
      <c r="O1131">
        <v>93.25</v>
      </c>
      <c r="P1131">
        <v>9.82</v>
      </c>
    </row>
    <row r="1132" spans="1:16" x14ac:dyDescent="0.35">
      <c r="A1132" t="s">
        <v>1451</v>
      </c>
      <c r="B1132" s="1">
        <v>45324</v>
      </c>
      <c r="C1132" s="1">
        <v>45325</v>
      </c>
      <c r="D1132" t="s">
        <v>17</v>
      </c>
      <c r="E1132" t="s">
        <v>562</v>
      </c>
      <c r="F1132" t="s">
        <v>27</v>
      </c>
      <c r="G1132" t="s">
        <v>67</v>
      </c>
      <c r="H1132" t="s">
        <v>36</v>
      </c>
      <c r="I1132" t="s">
        <v>52</v>
      </c>
      <c r="J1132" t="s">
        <v>68</v>
      </c>
      <c r="K1132" t="s">
        <v>108</v>
      </c>
      <c r="L1132">
        <v>12</v>
      </c>
      <c r="M1132">
        <v>311.20999999999998</v>
      </c>
      <c r="N1132">
        <v>0</v>
      </c>
      <c r="O1132">
        <v>3734.52</v>
      </c>
      <c r="P1132">
        <v>782.6</v>
      </c>
    </row>
    <row r="1133" spans="1:16" x14ac:dyDescent="0.35">
      <c r="A1133" t="s">
        <v>1452</v>
      </c>
      <c r="B1133" s="1">
        <v>45237</v>
      </c>
      <c r="C1133" s="1">
        <v>45244</v>
      </c>
      <c r="D1133" t="s">
        <v>44</v>
      </c>
      <c r="E1133" t="s">
        <v>505</v>
      </c>
      <c r="F1133" t="s">
        <v>27</v>
      </c>
      <c r="G1133" t="s">
        <v>90</v>
      </c>
      <c r="H1133" t="s">
        <v>73</v>
      </c>
      <c r="I1133" t="s">
        <v>30</v>
      </c>
      <c r="J1133" t="s">
        <v>31</v>
      </c>
      <c r="K1133" t="s">
        <v>87</v>
      </c>
      <c r="L1133">
        <v>7</v>
      </c>
      <c r="M1133">
        <v>852.86</v>
      </c>
      <c r="N1133">
        <v>0</v>
      </c>
      <c r="O1133">
        <v>5970.02</v>
      </c>
      <c r="P1133">
        <v>559.22</v>
      </c>
    </row>
    <row r="1134" spans="1:16" x14ac:dyDescent="0.35">
      <c r="A1134" t="s">
        <v>1330</v>
      </c>
      <c r="B1134" s="1">
        <v>44982</v>
      </c>
      <c r="C1134" s="1">
        <v>44987</v>
      </c>
      <c r="D1134" t="s">
        <v>44</v>
      </c>
      <c r="E1134" t="s">
        <v>334</v>
      </c>
      <c r="F1134" t="s">
        <v>27</v>
      </c>
      <c r="G1134" t="s">
        <v>67</v>
      </c>
      <c r="H1134" t="s">
        <v>21</v>
      </c>
      <c r="I1134" t="s">
        <v>22</v>
      </c>
      <c r="J1134" t="s">
        <v>37</v>
      </c>
      <c r="K1134" t="s">
        <v>38</v>
      </c>
      <c r="L1134">
        <v>5</v>
      </c>
      <c r="M1134">
        <v>425.11</v>
      </c>
      <c r="N1134">
        <v>0.1</v>
      </c>
      <c r="O1134">
        <v>2125.5500000000002</v>
      </c>
      <c r="P1134">
        <v>43.26</v>
      </c>
    </row>
    <row r="1135" spans="1:16" x14ac:dyDescent="0.35">
      <c r="A1135" t="s">
        <v>1453</v>
      </c>
      <c r="B1135" s="1">
        <v>45303</v>
      </c>
      <c r="C1135" s="1">
        <v>45308</v>
      </c>
      <c r="D1135" t="s">
        <v>65</v>
      </c>
      <c r="E1135" t="s">
        <v>301</v>
      </c>
      <c r="F1135" t="s">
        <v>35</v>
      </c>
      <c r="G1135" t="s">
        <v>20</v>
      </c>
      <c r="H1135" t="s">
        <v>21</v>
      </c>
      <c r="I1135" t="s">
        <v>30</v>
      </c>
      <c r="J1135" t="s">
        <v>47</v>
      </c>
      <c r="K1135" t="s">
        <v>48</v>
      </c>
      <c r="L1135">
        <v>9</v>
      </c>
      <c r="M1135">
        <v>577.16</v>
      </c>
      <c r="N1135">
        <v>0.15</v>
      </c>
      <c r="O1135">
        <v>5194.4399999999996</v>
      </c>
      <c r="P1135">
        <v>-34.19</v>
      </c>
    </row>
    <row r="1136" spans="1:16" x14ac:dyDescent="0.35">
      <c r="A1136" t="s">
        <v>1454</v>
      </c>
      <c r="B1136" s="1">
        <v>45278</v>
      </c>
      <c r="C1136" s="1">
        <v>45283</v>
      </c>
      <c r="D1136" t="s">
        <v>44</v>
      </c>
      <c r="E1136" t="s">
        <v>200</v>
      </c>
      <c r="F1136" t="s">
        <v>19</v>
      </c>
      <c r="G1136" t="s">
        <v>86</v>
      </c>
      <c r="H1136" t="s">
        <v>159</v>
      </c>
      <c r="I1136" t="s">
        <v>22</v>
      </c>
      <c r="J1136" t="s">
        <v>23</v>
      </c>
      <c r="K1136" t="s">
        <v>178</v>
      </c>
      <c r="L1136">
        <v>7</v>
      </c>
      <c r="M1136">
        <v>793.25</v>
      </c>
      <c r="N1136">
        <v>0.15</v>
      </c>
      <c r="O1136">
        <v>5552.75</v>
      </c>
      <c r="P1136">
        <v>677.43</v>
      </c>
    </row>
    <row r="1137" spans="1:16" x14ac:dyDescent="0.35">
      <c r="A1137" t="s">
        <v>1455</v>
      </c>
      <c r="B1137" s="1">
        <v>45175</v>
      </c>
      <c r="C1137" s="1">
        <v>45177</v>
      </c>
      <c r="D1137" t="s">
        <v>65</v>
      </c>
      <c r="E1137" t="s">
        <v>637</v>
      </c>
      <c r="F1137" t="s">
        <v>35</v>
      </c>
      <c r="G1137" t="s">
        <v>67</v>
      </c>
      <c r="H1137" t="s">
        <v>36</v>
      </c>
      <c r="I1137" t="s">
        <v>30</v>
      </c>
      <c r="J1137" t="s">
        <v>47</v>
      </c>
      <c r="K1137" t="s">
        <v>94</v>
      </c>
      <c r="L1137">
        <v>7</v>
      </c>
      <c r="M1137">
        <v>764.51</v>
      </c>
      <c r="N1137">
        <v>0.2</v>
      </c>
      <c r="O1137">
        <v>5351.57</v>
      </c>
      <c r="P1137">
        <v>745.64</v>
      </c>
    </row>
    <row r="1138" spans="1:16" x14ac:dyDescent="0.35">
      <c r="A1138" t="s">
        <v>1456</v>
      </c>
      <c r="B1138" s="1">
        <v>44984</v>
      </c>
      <c r="C1138" s="1">
        <v>44988</v>
      </c>
      <c r="D1138" t="s">
        <v>65</v>
      </c>
      <c r="E1138" t="s">
        <v>89</v>
      </c>
      <c r="F1138" t="s">
        <v>19</v>
      </c>
      <c r="G1138" t="s">
        <v>51</v>
      </c>
      <c r="H1138" t="s">
        <v>36</v>
      </c>
      <c r="I1138" t="s">
        <v>22</v>
      </c>
      <c r="J1138" t="s">
        <v>115</v>
      </c>
      <c r="K1138" t="s">
        <v>133</v>
      </c>
      <c r="L1138">
        <v>1</v>
      </c>
      <c r="M1138">
        <v>533.46</v>
      </c>
      <c r="N1138">
        <v>0</v>
      </c>
      <c r="O1138">
        <v>533.46</v>
      </c>
      <c r="P1138">
        <v>143.22</v>
      </c>
    </row>
    <row r="1139" spans="1:16" x14ac:dyDescent="0.35">
      <c r="A1139" t="s">
        <v>1457</v>
      </c>
      <c r="B1139" s="1">
        <v>45343</v>
      </c>
      <c r="C1139" s="1">
        <v>45346</v>
      </c>
      <c r="D1139" t="s">
        <v>65</v>
      </c>
      <c r="E1139" t="s">
        <v>1053</v>
      </c>
      <c r="F1139" t="s">
        <v>27</v>
      </c>
      <c r="G1139" t="s">
        <v>332</v>
      </c>
      <c r="H1139" t="s">
        <v>83</v>
      </c>
      <c r="I1139" t="s">
        <v>30</v>
      </c>
      <c r="J1139" t="s">
        <v>99</v>
      </c>
      <c r="K1139" t="s">
        <v>100</v>
      </c>
      <c r="L1139">
        <v>2</v>
      </c>
      <c r="M1139">
        <v>472.15</v>
      </c>
      <c r="N1139">
        <v>0.3</v>
      </c>
      <c r="O1139">
        <v>944.3</v>
      </c>
      <c r="P1139">
        <v>132.4</v>
      </c>
    </row>
    <row r="1140" spans="1:16" x14ac:dyDescent="0.35">
      <c r="A1140" t="s">
        <v>1458</v>
      </c>
      <c r="B1140" s="1">
        <v>45494</v>
      </c>
      <c r="C1140" s="1">
        <v>45495</v>
      </c>
      <c r="D1140" t="s">
        <v>17</v>
      </c>
      <c r="E1140" t="s">
        <v>98</v>
      </c>
      <c r="F1140" t="s">
        <v>27</v>
      </c>
      <c r="G1140" t="s">
        <v>103</v>
      </c>
      <c r="H1140" t="s">
        <v>62</v>
      </c>
      <c r="I1140" t="s">
        <v>30</v>
      </c>
      <c r="J1140" t="s">
        <v>99</v>
      </c>
      <c r="K1140" t="s">
        <v>208</v>
      </c>
      <c r="L1140">
        <v>3</v>
      </c>
      <c r="M1140">
        <v>748.79</v>
      </c>
      <c r="N1140">
        <v>0</v>
      </c>
      <c r="O1140">
        <v>2246.37</v>
      </c>
      <c r="P1140">
        <v>726.04</v>
      </c>
    </row>
    <row r="1141" spans="1:16" x14ac:dyDescent="0.35">
      <c r="A1141" t="s">
        <v>1459</v>
      </c>
      <c r="B1141" s="1">
        <v>45635</v>
      </c>
      <c r="C1141" s="1">
        <v>45640</v>
      </c>
      <c r="D1141" t="s">
        <v>17</v>
      </c>
      <c r="E1141" t="s">
        <v>1460</v>
      </c>
      <c r="F1141" t="s">
        <v>19</v>
      </c>
      <c r="G1141" t="s">
        <v>82</v>
      </c>
      <c r="H1141" t="s">
        <v>123</v>
      </c>
      <c r="I1141" t="s">
        <v>30</v>
      </c>
      <c r="J1141" t="s">
        <v>31</v>
      </c>
      <c r="K1141" t="s">
        <v>57</v>
      </c>
      <c r="L1141">
        <v>6</v>
      </c>
      <c r="M1141">
        <v>201.77</v>
      </c>
      <c r="N1141">
        <v>0</v>
      </c>
      <c r="O1141">
        <v>1210.6199999999999</v>
      </c>
      <c r="P1141">
        <v>183.79</v>
      </c>
    </row>
    <row r="1142" spans="1:16" x14ac:dyDescent="0.35">
      <c r="A1142" t="s">
        <v>1461</v>
      </c>
      <c r="B1142" s="1">
        <v>45473</v>
      </c>
      <c r="C1142" s="1">
        <v>45477</v>
      </c>
      <c r="D1142" t="s">
        <v>17</v>
      </c>
      <c r="F1142" t="s">
        <v>35</v>
      </c>
      <c r="G1142" t="s">
        <v>187</v>
      </c>
      <c r="H1142" t="s">
        <v>29</v>
      </c>
      <c r="I1142" t="s">
        <v>22</v>
      </c>
      <c r="J1142" t="s">
        <v>115</v>
      </c>
      <c r="K1142" t="s">
        <v>116</v>
      </c>
      <c r="L1142">
        <v>4</v>
      </c>
      <c r="M1142">
        <v>620.70000000000005</v>
      </c>
      <c r="N1142">
        <v>0.2</v>
      </c>
      <c r="O1142">
        <v>2482.8000000000002</v>
      </c>
      <c r="P1142">
        <v>645.23</v>
      </c>
    </row>
    <row r="1143" spans="1:16" x14ac:dyDescent="0.35">
      <c r="A1143" t="s">
        <v>1462</v>
      </c>
      <c r="B1143" s="1">
        <v>45185</v>
      </c>
      <c r="C1143" s="1">
        <v>45190</v>
      </c>
      <c r="D1143" t="s">
        <v>65</v>
      </c>
      <c r="E1143" t="s">
        <v>503</v>
      </c>
      <c r="F1143" t="s">
        <v>19</v>
      </c>
      <c r="G1143" t="s">
        <v>181</v>
      </c>
      <c r="H1143" t="s">
        <v>123</v>
      </c>
      <c r="I1143" t="s">
        <v>22</v>
      </c>
      <c r="J1143" t="s">
        <v>74</v>
      </c>
      <c r="K1143" t="s">
        <v>75</v>
      </c>
      <c r="L1143">
        <v>4</v>
      </c>
      <c r="M1143">
        <v>545.23</v>
      </c>
      <c r="N1143">
        <v>0.1</v>
      </c>
      <c r="O1143">
        <v>2180.92</v>
      </c>
      <c r="P1143">
        <v>-289.69</v>
      </c>
    </row>
    <row r="1144" spans="1:16" x14ac:dyDescent="0.35">
      <c r="A1144" t="s">
        <v>1463</v>
      </c>
      <c r="B1144" s="1">
        <v>45282</v>
      </c>
      <c r="C1144" s="1">
        <v>45286</v>
      </c>
      <c r="E1144" t="s">
        <v>93</v>
      </c>
      <c r="F1144" t="s">
        <v>35</v>
      </c>
      <c r="G1144" t="s">
        <v>103</v>
      </c>
      <c r="H1144" t="s">
        <v>73</v>
      </c>
      <c r="I1144" t="s">
        <v>22</v>
      </c>
      <c r="J1144" t="s">
        <v>115</v>
      </c>
      <c r="K1144" t="s">
        <v>147</v>
      </c>
      <c r="L1144">
        <v>1</v>
      </c>
      <c r="M1144">
        <v>484.68</v>
      </c>
      <c r="N1144">
        <v>0.15</v>
      </c>
      <c r="O1144">
        <v>484.68</v>
      </c>
      <c r="P1144">
        <v>51.31</v>
      </c>
    </row>
    <row r="1145" spans="1:16" x14ac:dyDescent="0.35">
      <c r="A1145" t="s">
        <v>1464</v>
      </c>
      <c r="B1145" s="1">
        <v>45097</v>
      </c>
      <c r="C1145" s="1">
        <v>45101</v>
      </c>
      <c r="D1145" t="s">
        <v>59</v>
      </c>
      <c r="E1145" t="s">
        <v>326</v>
      </c>
      <c r="F1145" t="s">
        <v>27</v>
      </c>
      <c r="G1145" t="s">
        <v>20</v>
      </c>
      <c r="H1145" t="s">
        <v>21</v>
      </c>
      <c r="I1145" t="s">
        <v>52</v>
      </c>
      <c r="J1145" t="s">
        <v>78</v>
      </c>
      <c r="K1145" t="s">
        <v>96</v>
      </c>
      <c r="L1145">
        <v>1</v>
      </c>
      <c r="M1145">
        <v>438.72</v>
      </c>
      <c r="N1145">
        <v>0</v>
      </c>
      <c r="O1145">
        <v>438.72</v>
      </c>
      <c r="P1145">
        <v>113.02</v>
      </c>
    </row>
    <row r="1146" spans="1:16" x14ac:dyDescent="0.35">
      <c r="A1146" t="s">
        <v>1465</v>
      </c>
      <c r="B1146" s="1">
        <v>45200</v>
      </c>
      <c r="C1146" s="1">
        <v>45207</v>
      </c>
      <c r="D1146" t="s">
        <v>17</v>
      </c>
      <c r="E1146" t="s">
        <v>141</v>
      </c>
      <c r="F1146" t="s">
        <v>19</v>
      </c>
      <c r="G1146" t="s">
        <v>86</v>
      </c>
      <c r="H1146" t="s">
        <v>29</v>
      </c>
      <c r="I1146" t="s">
        <v>30</v>
      </c>
      <c r="J1146" t="s">
        <v>41</v>
      </c>
      <c r="K1146" t="s">
        <v>124</v>
      </c>
      <c r="L1146">
        <v>1</v>
      </c>
      <c r="M1146">
        <v>326.02</v>
      </c>
      <c r="N1146">
        <v>0.1</v>
      </c>
      <c r="O1146">
        <v>326.02</v>
      </c>
      <c r="P1146">
        <v>-32.200000000000003</v>
      </c>
    </row>
    <row r="1147" spans="1:16" x14ac:dyDescent="0.35">
      <c r="A1147" t="s">
        <v>1466</v>
      </c>
      <c r="B1147" s="1">
        <v>45243</v>
      </c>
      <c r="C1147" s="1">
        <v>45249</v>
      </c>
      <c r="D1147" t="s">
        <v>17</v>
      </c>
      <c r="E1147" t="s">
        <v>574</v>
      </c>
      <c r="F1147" t="s">
        <v>19</v>
      </c>
      <c r="G1147" t="s">
        <v>128</v>
      </c>
      <c r="H1147" t="s">
        <v>129</v>
      </c>
      <c r="I1147" t="s">
        <v>22</v>
      </c>
      <c r="J1147" t="s">
        <v>115</v>
      </c>
      <c r="K1147" t="s">
        <v>116</v>
      </c>
      <c r="L1147">
        <v>7</v>
      </c>
      <c r="M1147">
        <v>600.11</v>
      </c>
      <c r="N1147">
        <v>0.1</v>
      </c>
      <c r="O1147">
        <v>4200.7700000000004</v>
      </c>
      <c r="P1147">
        <v>792.51</v>
      </c>
    </row>
    <row r="1148" spans="1:16" x14ac:dyDescent="0.35">
      <c r="A1148" t="s">
        <v>1467</v>
      </c>
      <c r="B1148" s="1">
        <v>45102</v>
      </c>
      <c r="C1148" s="1">
        <v>45103</v>
      </c>
      <c r="D1148" t="s">
        <v>59</v>
      </c>
      <c r="E1148" t="s">
        <v>455</v>
      </c>
      <c r="F1148" t="s">
        <v>27</v>
      </c>
      <c r="G1148" t="s">
        <v>132</v>
      </c>
      <c r="H1148" t="s">
        <v>129</v>
      </c>
      <c r="I1148" t="s">
        <v>22</v>
      </c>
      <c r="J1148" t="s">
        <v>74</v>
      </c>
      <c r="K1148" t="s">
        <v>253</v>
      </c>
      <c r="L1148">
        <v>4</v>
      </c>
      <c r="M1148">
        <v>811.64</v>
      </c>
      <c r="N1148">
        <v>0.2</v>
      </c>
      <c r="O1148">
        <v>3246.56</v>
      </c>
      <c r="P1148">
        <v>953.77</v>
      </c>
    </row>
    <row r="1149" spans="1:16" x14ac:dyDescent="0.35">
      <c r="A1149" t="s">
        <v>1468</v>
      </c>
      <c r="B1149" s="1">
        <v>45035</v>
      </c>
      <c r="C1149" s="1">
        <v>45036</v>
      </c>
      <c r="D1149" t="s">
        <v>65</v>
      </c>
      <c r="E1149" t="s">
        <v>337</v>
      </c>
      <c r="F1149" t="s">
        <v>19</v>
      </c>
      <c r="G1149" t="s">
        <v>67</v>
      </c>
      <c r="H1149" t="s">
        <v>36</v>
      </c>
      <c r="I1149" t="s">
        <v>22</v>
      </c>
      <c r="J1149" t="s">
        <v>115</v>
      </c>
      <c r="K1149" t="s">
        <v>147</v>
      </c>
      <c r="L1149">
        <v>8</v>
      </c>
      <c r="M1149">
        <v>724.24</v>
      </c>
      <c r="N1149">
        <v>0.1</v>
      </c>
      <c r="O1149">
        <v>5793.92</v>
      </c>
      <c r="P1149">
        <v>551.89</v>
      </c>
    </row>
    <row r="1150" spans="1:16" x14ac:dyDescent="0.35">
      <c r="A1150" t="s">
        <v>1469</v>
      </c>
      <c r="B1150" s="1">
        <v>45273</v>
      </c>
      <c r="C1150" s="1">
        <v>45279</v>
      </c>
      <c r="D1150" t="s">
        <v>17</v>
      </c>
      <c r="E1150" t="s">
        <v>463</v>
      </c>
      <c r="F1150" t="s">
        <v>27</v>
      </c>
      <c r="G1150" t="s">
        <v>103</v>
      </c>
      <c r="H1150" t="s">
        <v>62</v>
      </c>
      <c r="I1150" t="s">
        <v>30</v>
      </c>
      <c r="J1150" t="s">
        <v>47</v>
      </c>
      <c r="K1150" t="s">
        <v>94</v>
      </c>
      <c r="L1150">
        <v>5</v>
      </c>
      <c r="M1150">
        <v>230.54</v>
      </c>
      <c r="N1150">
        <v>0.3</v>
      </c>
      <c r="O1150">
        <v>1152.7</v>
      </c>
      <c r="P1150">
        <v>205.51</v>
      </c>
    </row>
    <row r="1151" spans="1:16" x14ac:dyDescent="0.35">
      <c r="A1151" t="s">
        <v>1470</v>
      </c>
      <c r="B1151" s="1">
        <v>45426</v>
      </c>
      <c r="C1151" s="1">
        <v>45429</v>
      </c>
      <c r="D1151" t="s">
        <v>59</v>
      </c>
      <c r="E1151" t="s">
        <v>521</v>
      </c>
      <c r="F1151" t="s">
        <v>27</v>
      </c>
      <c r="G1151" t="s">
        <v>103</v>
      </c>
      <c r="H1151" t="s">
        <v>73</v>
      </c>
      <c r="I1151" t="s">
        <v>22</v>
      </c>
      <c r="J1151" t="s">
        <v>37</v>
      </c>
      <c r="K1151" t="s">
        <v>144</v>
      </c>
      <c r="L1151">
        <v>7</v>
      </c>
      <c r="M1151">
        <v>199.96</v>
      </c>
      <c r="N1151">
        <v>0.1</v>
      </c>
      <c r="O1151" t="s">
        <v>219</v>
      </c>
      <c r="P1151">
        <v>367.32</v>
      </c>
    </row>
    <row r="1152" spans="1:16" x14ac:dyDescent="0.35">
      <c r="A1152" t="s">
        <v>1471</v>
      </c>
      <c r="B1152" s="1">
        <v>45542</v>
      </c>
      <c r="C1152" s="1">
        <v>45544</v>
      </c>
      <c r="D1152" t="s">
        <v>44</v>
      </c>
      <c r="F1152" t="s">
        <v>35</v>
      </c>
      <c r="G1152" t="s">
        <v>288</v>
      </c>
      <c r="H1152" t="s">
        <v>112</v>
      </c>
      <c r="I1152" t="s">
        <v>30</v>
      </c>
      <c r="J1152" t="s">
        <v>99</v>
      </c>
      <c r="K1152" t="s">
        <v>100</v>
      </c>
      <c r="L1152">
        <v>8</v>
      </c>
      <c r="M1152">
        <v>439.42</v>
      </c>
      <c r="N1152">
        <v>0.1</v>
      </c>
      <c r="O1152">
        <v>3515.36</v>
      </c>
      <c r="P1152">
        <v>214.47</v>
      </c>
    </row>
    <row r="1153" spans="1:16" x14ac:dyDescent="0.35">
      <c r="A1153" t="s">
        <v>1472</v>
      </c>
      <c r="B1153" s="1">
        <v>45119</v>
      </c>
      <c r="C1153" s="1">
        <v>45121</v>
      </c>
      <c r="D1153" t="s">
        <v>65</v>
      </c>
      <c r="E1153" t="s">
        <v>551</v>
      </c>
      <c r="F1153" t="s">
        <v>27</v>
      </c>
      <c r="G1153" t="s">
        <v>20</v>
      </c>
      <c r="H1153" t="s">
        <v>21</v>
      </c>
      <c r="I1153" t="s">
        <v>22</v>
      </c>
      <c r="J1153" t="s">
        <v>23</v>
      </c>
      <c r="K1153" t="s">
        <v>289</v>
      </c>
      <c r="L1153">
        <v>3</v>
      </c>
      <c r="M1153">
        <v>657.55</v>
      </c>
      <c r="N1153">
        <v>0.1</v>
      </c>
      <c r="O1153">
        <v>1972.65</v>
      </c>
      <c r="P1153">
        <v>-222.55</v>
      </c>
    </row>
    <row r="1154" spans="1:16" x14ac:dyDescent="0.35">
      <c r="A1154" t="s">
        <v>1473</v>
      </c>
      <c r="B1154" s="1">
        <v>45206</v>
      </c>
      <c r="C1154" s="1">
        <v>45212</v>
      </c>
      <c r="D1154" t="s">
        <v>59</v>
      </c>
      <c r="E1154" t="s">
        <v>453</v>
      </c>
      <c r="F1154" t="s">
        <v>27</v>
      </c>
      <c r="G1154" t="s">
        <v>111</v>
      </c>
      <c r="I1154" t="s">
        <v>22</v>
      </c>
      <c r="J1154" t="s">
        <v>74</v>
      </c>
      <c r="K1154" t="s">
        <v>165</v>
      </c>
      <c r="L1154">
        <v>12</v>
      </c>
      <c r="M1154">
        <v>518.41999999999996</v>
      </c>
      <c r="N1154">
        <v>0</v>
      </c>
      <c r="O1154">
        <v>6221.04</v>
      </c>
      <c r="P1154">
        <v>250.93</v>
      </c>
    </row>
    <row r="1155" spans="1:16" x14ac:dyDescent="0.35">
      <c r="A1155" t="s">
        <v>846</v>
      </c>
      <c r="B1155" s="1">
        <v>45373</v>
      </c>
      <c r="C1155" s="1">
        <v>45380</v>
      </c>
      <c r="D1155" t="s">
        <v>44</v>
      </c>
      <c r="E1155" t="s">
        <v>847</v>
      </c>
      <c r="F1155" t="s">
        <v>27</v>
      </c>
      <c r="G1155" t="s">
        <v>90</v>
      </c>
      <c r="H1155" t="s">
        <v>62</v>
      </c>
      <c r="I1155" t="s">
        <v>30</v>
      </c>
      <c r="J1155" t="s">
        <v>41</v>
      </c>
      <c r="K1155" t="s">
        <v>124</v>
      </c>
      <c r="L1155">
        <v>8</v>
      </c>
      <c r="M1155">
        <v>515.02</v>
      </c>
      <c r="N1155">
        <v>0.2</v>
      </c>
      <c r="O1155">
        <v>4120.16</v>
      </c>
    </row>
    <row r="1156" spans="1:16" x14ac:dyDescent="0.35">
      <c r="A1156" t="s">
        <v>1474</v>
      </c>
      <c r="B1156" s="1">
        <v>45010</v>
      </c>
      <c r="C1156" s="1">
        <v>45013</v>
      </c>
      <c r="D1156" t="s">
        <v>17</v>
      </c>
      <c r="E1156" t="s">
        <v>118</v>
      </c>
      <c r="F1156" t="s">
        <v>27</v>
      </c>
      <c r="G1156" t="s">
        <v>132</v>
      </c>
      <c r="H1156" t="s">
        <v>112</v>
      </c>
      <c r="I1156" t="s">
        <v>22</v>
      </c>
      <c r="J1156" t="s">
        <v>115</v>
      </c>
      <c r="K1156" t="s">
        <v>147</v>
      </c>
      <c r="L1156">
        <v>7</v>
      </c>
      <c r="M1156">
        <v>311.11</v>
      </c>
      <c r="N1156">
        <v>0.3</v>
      </c>
      <c r="O1156">
        <v>2177.77</v>
      </c>
      <c r="P1156">
        <v>-3.37</v>
      </c>
    </row>
    <row r="1157" spans="1:16" x14ac:dyDescent="0.35">
      <c r="A1157" t="s">
        <v>1475</v>
      </c>
      <c r="B1157" s="1">
        <v>45243</v>
      </c>
      <c r="C1157" s="1">
        <v>45249</v>
      </c>
      <c r="D1157" t="s">
        <v>17</v>
      </c>
      <c r="E1157" t="s">
        <v>521</v>
      </c>
      <c r="F1157" t="s">
        <v>19</v>
      </c>
      <c r="G1157" t="s">
        <v>72</v>
      </c>
      <c r="H1157" t="s">
        <v>62</v>
      </c>
      <c r="I1157" t="s">
        <v>30</v>
      </c>
      <c r="J1157" t="s">
        <v>99</v>
      </c>
      <c r="K1157" t="s">
        <v>208</v>
      </c>
      <c r="L1157">
        <v>9</v>
      </c>
      <c r="M1157">
        <v>854</v>
      </c>
      <c r="N1157">
        <v>0</v>
      </c>
      <c r="O1157">
        <v>7686</v>
      </c>
      <c r="P1157">
        <v>-445.27</v>
      </c>
    </row>
    <row r="1158" spans="1:16" x14ac:dyDescent="0.35">
      <c r="A1158" t="s">
        <v>1476</v>
      </c>
      <c r="B1158" s="1">
        <v>45189</v>
      </c>
      <c r="C1158" s="1">
        <v>45190</v>
      </c>
      <c r="D1158" t="s">
        <v>17</v>
      </c>
      <c r="E1158" t="s">
        <v>403</v>
      </c>
      <c r="F1158" t="s">
        <v>19</v>
      </c>
      <c r="G1158" t="s">
        <v>103</v>
      </c>
      <c r="H1158" t="s">
        <v>62</v>
      </c>
      <c r="I1158" t="s">
        <v>22</v>
      </c>
      <c r="J1158" t="s">
        <v>115</v>
      </c>
      <c r="K1158" t="s">
        <v>116</v>
      </c>
      <c r="L1158">
        <v>4</v>
      </c>
      <c r="M1158">
        <v>736.08</v>
      </c>
      <c r="N1158">
        <v>0</v>
      </c>
      <c r="O1158">
        <v>2944.32</v>
      </c>
      <c r="P1158">
        <v>35.72</v>
      </c>
    </row>
    <row r="1159" spans="1:16" x14ac:dyDescent="0.35">
      <c r="A1159" t="s">
        <v>1477</v>
      </c>
      <c r="B1159" s="1">
        <v>45125</v>
      </c>
      <c r="C1159" s="1">
        <v>45131</v>
      </c>
      <c r="D1159" t="s">
        <v>65</v>
      </c>
      <c r="E1159" t="s">
        <v>314</v>
      </c>
      <c r="F1159" t="s">
        <v>35</v>
      </c>
      <c r="G1159" t="s">
        <v>72</v>
      </c>
      <c r="H1159" t="s">
        <v>73</v>
      </c>
      <c r="I1159" t="s">
        <v>22</v>
      </c>
      <c r="J1159" t="s">
        <v>23</v>
      </c>
      <c r="K1159" t="s">
        <v>289</v>
      </c>
      <c r="L1159">
        <v>5</v>
      </c>
      <c r="M1159">
        <v>840.54</v>
      </c>
      <c r="N1159">
        <v>0.3</v>
      </c>
      <c r="O1159">
        <v>4202.7</v>
      </c>
      <c r="P1159">
        <v>-151.37</v>
      </c>
    </row>
    <row r="1160" spans="1:16" x14ac:dyDescent="0.35">
      <c r="A1160" t="s">
        <v>1478</v>
      </c>
      <c r="B1160" s="1">
        <v>45062</v>
      </c>
      <c r="C1160" s="1">
        <v>45065</v>
      </c>
      <c r="D1160" t="s">
        <v>17</v>
      </c>
      <c r="E1160" t="s">
        <v>615</v>
      </c>
      <c r="F1160" t="s">
        <v>35</v>
      </c>
      <c r="G1160" t="s">
        <v>332</v>
      </c>
      <c r="H1160" t="s">
        <v>83</v>
      </c>
      <c r="I1160" t="s">
        <v>52</v>
      </c>
      <c r="J1160" t="s">
        <v>194</v>
      </c>
      <c r="K1160" t="s">
        <v>306</v>
      </c>
      <c r="L1160">
        <v>6</v>
      </c>
      <c r="M1160">
        <v>375.51</v>
      </c>
      <c r="O1160">
        <v>2253.06</v>
      </c>
      <c r="P1160">
        <v>-125.9</v>
      </c>
    </row>
    <row r="1161" spans="1:16" x14ac:dyDescent="0.35">
      <c r="A1161" t="s">
        <v>1479</v>
      </c>
      <c r="B1161" s="1">
        <v>45549</v>
      </c>
      <c r="C1161" s="1">
        <v>45555</v>
      </c>
      <c r="D1161" t="s">
        <v>59</v>
      </c>
      <c r="E1161" t="s">
        <v>386</v>
      </c>
      <c r="F1161" t="s">
        <v>35</v>
      </c>
      <c r="G1161" t="s">
        <v>211</v>
      </c>
      <c r="H1161" t="s">
        <v>29</v>
      </c>
      <c r="I1161" t="s">
        <v>30</v>
      </c>
      <c r="J1161" t="s">
        <v>41</v>
      </c>
      <c r="K1161" t="s">
        <v>42</v>
      </c>
      <c r="L1161">
        <v>11</v>
      </c>
      <c r="M1161">
        <v>606.04</v>
      </c>
      <c r="N1161">
        <v>0</v>
      </c>
      <c r="O1161">
        <v>6666.44</v>
      </c>
      <c r="P1161">
        <v>2252.7199999999998</v>
      </c>
    </row>
    <row r="1162" spans="1:16" x14ac:dyDescent="0.35">
      <c r="A1162" t="s">
        <v>1480</v>
      </c>
      <c r="B1162" s="1">
        <v>45148</v>
      </c>
      <c r="C1162" s="1">
        <v>45150</v>
      </c>
      <c r="D1162" t="s">
        <v>65</v>
      </c>
      <c r="E1162" t="s">
        <v>301</v>
      </c>
      <c r="F1162" t="s">
        <v>27</v>
      </c>
      <c r="G1162" t="s">
        <v>128</v>
      </c>
      <c r="H1162" t="s">
        <v>112</v>
      </c>
      <c r="I1162" t="s">
        <v>30</v>
      </c>
      <c r="J1162" t="s">
        <v>31</v>
      </c>
      <c r="K1162" t="s">
        <v>32</v>
      </c>
      <c r="L1162">
        <v>10</v>
      </c>
      <c r="M1162">
        <v>686.41</v>
      </c>
      <c r="N1162">
        <v>0.1</v>
      </c>
      <c r="O1162">
        <v>6864.1</v>
      </c>
      <c r="P1162">
        <v>1573.25</v>
      </c>
    </row>
    <row r="1163" spans="1:16" x14ac:dyDescent="0.35">
      <c r="A1163" t="s">
        <v>1481</v>
      </c>
      <c r="B1163" s="1">
        <v>45143</v>
      </c>
      <c r="C1163" s="1">
        <v>45147</v>
      </c>
      <c r="D1163" t="s">
        <v>65</v>
      </c>
      <c r="E1163" t="s">
        <v>758</v>
      </c>
      <c r="F1163" t="s">
        <v>35</v>
      </c>
      <c r="G1163" t="s">
        <v>51</v>
      </c>
      <c r="H1163" t="s">
        <v>36</v>
      </c>
      <c r="I1163" t="s">
        <v>52</v>
      </c>
      <c r="J1163" t="s">
        <v>78</v>
      </c>
      <c r="K1163" t="s">
        <v>79</v>
      </c>
      <c r="L1163">
        <v>1</v>
      </c>
      <c r="M1163">
        <v>675.38</v>
      </c>
      <c r="N1163">
        <v>0</v>
      </c>
      <c r="O1163">
        <v>675.38</v>
      </c>
      <c r="P1163">
        <v>236.35</v>
      </c>
    </row>
    <row r="1164" spans="1:16" x14ac:dyDescent="0.35">
      <c r="A1164" t="s">
        <v>1482</v>
      </c>
      <c r="B1164" s="1">
        <v>45363</v>
      </c>
      <c r="C1164" s="1">
        <v>45366</v>
      </c>
      <c r="D1164" t="s">
        <v>17</v>
      </c>
      <c r="E1164" t="s">
        <v>565</v>
      </c>
      <c r="F1164" t="s">
        <v>27</v>
      </c>
      <c r="G1164" t="s">
        <v>128</v>
      </c>
      <c r="H1164" t="s">
        <v>112</v>
      </c>
      <c r="I1164" t="s">
        <v>22</v>
      </c>
      <c r="J1164" t="s">
        <v>23</v>
      </c>
      <c r="K1164" t="s">
        <v>24</v>
      </c>
      <c r="L1164">
        <v>10</v>
      </c>
      <c r="M1164">
        <v>160.24</v>
      </c>
      <c r="N1164">
        <v>0</v>
      </c>
      <c r="O1164">
        <v>1602.4</v>
      </c>
      <c r="P1164">
        <v>-143.62</v>
      </c>
    </row>
    <row r="1165" spans="1:16" x14ac:dyDescent="0.35">
      <c r="A1165" t="s">
        <v>1483</v>
      </c>
      <c r="B1165" s="1">
        <v>45570</v>
      </c>
      <c r="C1165" s="1">
        <v>45571</v>
      </c>
      <c r="D1165" t="s">
        <v>59</v>
      </c>
      <c r="E1165" t="s">
        <v>227</v>
      </c>
      <c r="F1165" t="s">
        <v>19</v>
      </c>
      <c r="G1165" t="s">
        <v>103</v>
      </c>
      <c r="H1165" t="s">
        <v>73</v>
      </c>
      <c r="I1165" t="s">
        <v>22</v>
      </c>
      <c r="J1165" t="s">
        <v>37</v>
      </c>
      <c r="K1165" t="s">
        <v>144</v>
      </c>
      <c r="L1165">
        <v>7</v>
      </c>
      <c r="M1165">
        <v>407.46</v>
      </c>
      <c r="N1165">
        <v>0.2</v>
      </c>
      <c r="O1165">
        <v>2852.22</v>
      </c>
      <c r="P1165">
        <v>-88.89</v>
      </c>
    </row>
    <row r="1166" spans="1:16" x14ac:dyDescent="0.35">
      <c r="A1166" t="s">
        <v>1484</v>
      </c>
      <c r="B1166" s="1">
        <v>45076</v>
      </c>
      <c r="C1166" s="1">
        <v>45083</v>
      </c>
      <c r="D1166" t="s">
        <v>17</v>
      </c>
      <c r="E1166" t="s">
        <v>1485</v>
      </c>
      <c r="F1166" t="s">
        <v>19</v>
      </c>
      <c r="G1166" t="s">
        <v>51</v>
      </c>
      <c r="H1166" t="s">
        <v>36</v>
      </c>
      <c r="I1166" t="s">
        <v>52</v>
      </c>
      <c r="J1166" t="s">
        <v>53</v>
      </c>
      <c r="K1166" t="s">
        <v>54</v>
      </c>
      <c r="L1166">
        <v>10</v>
      </c>
      <c r="M1166">
        <v>112.72</v>
      </c>
      <c r="N1166">
        <v>0.2</v>
      </c>
      <c r="O1166">
        <v>1127.2</v>
      </c>
      <c r="P1166">
        <v>-134.94999999999999</v>
      </c>
    </row>
    <row r="1167" spans="1:16" x14ac:dyDescent="0.35">
      <c r="A1167" t="s">
        <v>1486</v>
      </c>
      <c r="B1167" s="1">
        <v>45288</v>
      </c>
      <c r="C1167" s="1">
        <v>45291</v>
      </c>
      <c r="D1167" t="s">
        <v>17</v>
      </c>
      <c r="E1167" t="s">
        <v>324</v>
      </c>
      <c r="F1167" t="s">
        <v>27</v>
      </c>
      <c r="G1167" t="s">
        <v>288</v>
      </c>
      <c r="H1167" t="s">
        <v>112</v>
      </c>
      <c r="I1167" t="s">
        <v>22</v>
      </c>
      <c r="J1167" t="s">
        <v>115</v>
      </c>
      <c r="K1167" t="s">
        <v>147</v>
      </c>
      <c r="L1167">
        <v>3</v>
      </c>
      <c r="M1167">
        <v>217.93</v>
      </c>
      <c r="N1167">
        <v>0</v>
      </c>
      <c r="O1167">
        <v>653.79</v>
      </c>
      <c r="P1167">
        <v>226.79</v>
      </c>
    </row>
    <row r="1168" spans="1:16" x14ac:dyDescent="0.35">
      <c r="A1168" t="s">
        <v>1487</v>
      </c>
      <c r="B1168" s="1">
        <v>45470</v>
      </c>
      <c r="C1168" s="1">
        <v>45472</v>
      </c>
      <c r="D1168" t="s">
        <v>17</v>
      </c>
      <c r="E1168" t="s">
        <v>551</v>
      </c>
      <c r="F1168" t="s">
        <v>35</v>
      </c>
      <c r="G1168" t="s">
        <v>181</v>
      </c>
      <c r="H1168" t="s">
        <v>83</v>
      </c>
      <c r="I1168" t="s">
        <v>22</v>
      </c>
      <c r="J1168" t="s">
        <v>23</v>
      </c>
      <c r="K1168" t="s">
        <v>178</v>
      </c>
      <c r="L1168">
        <v>3</v>
      </c>
      <c r="M1168">
        <v>96.92</v>
      </c>
      <c r="N1168">
        <v>0.15</v>
      </c>
      <c r="O1168">
        <v>290.76</v>
      </c>
      <c r="P1168">
        <v>41.97</v>
      </c>
    </row>
    <row r="1169" spans="1:16" x14ac:dyDescent="0.35">
      <c r="A1169" t="s">
        <v>1488</v>
      </c>
      <c r="B1169" s="1">
        <v>45377</v>
      </c>
      <c r="C1169" s="1">
        <v>45378</v>
      </c>
      <c r="D1169" t="s">
        <v>17</v>
      </c>
      <c r="E1169" t="s">
        <v>1489</v>
      </c>
      <c r="F1169" t="s">
        <v>35</v>
      </c>
      <c r="G1169" t="s">
        <v>20</v>
      </c>
      <c r="H1169" t="s">
        <v>36</v>
      </c>
      <c r="I1169" t="s">
        <v>52</v>
      </c>
      <c r="J1169" t="s">
        <v>68</v>
      </c>
      <c r="K1169" t="s">
        <v>108</v>
      </c>
      <c r="L1169">
        <v>3</v>
      </c>
      <c r="M1169">
        <v>211.98</v>
      </c>
      <c r="N1169">
        <v>0.2</v>
      </c>
      <c r="O1169">
        <v>635.94000000000005</v>
      </c>
      <c r="P1169">
        <v>-46.8</v>
      </c>
    </row>
    <row r="1170" spans="1:16" x14ac:dyDescent="0.35">
      <c r="A1170" t="s">
        <v>1490</v>
      </c>
      <c r="B1170" s="1">
        <v>45432</v>
      </c>
      <c r="C1170" s="1">
        <v>45435</v>
      </c>
      <c r="D1170" t="s">
        <v>59</v>
      </c>
      <c r="E1170" t="s">
        <v>839</v>
      </c>
      <c r="F1170" t="s">
        <v>19</v>
      </c>
      <c r="G1170" t="s">
        <v>128</v>
      </c>
      <c r="H1170" t="s">
        <v>129</v>
      </c>
      <c r="I1170" t="s">
        <v>30</v>
      </c>
      <c r="J1170" t="s">
        <v>41</v>
      </c>
      <c r="K1170" t="s">
        <v>124</v>
      </c>
      <c r="L1170">
        <v>7</v>
      </c>
      <c r="M1170">
        <v>784.93</v>
      </c>
      <c r="N1170">
        <v>0</v>
      </c>
      <c r="O1170">
        <v>5494.51</v>
      </c>
      <c r="P1170">
        <v>1072.52</v>
      </c>
    </row>
    <row r="1171" spans="1:16" x14ac:dyDescent="0.35">
      <c r="A1171" t="s">
        <v>1491</v>
      </c>
      <c r="B1171" s="1">
        <v>45629</v>
      </c>
      <c r="C1171" s="1">
        <v>45632</v>
      </c>
      <c r="D1171" t="s">
        <v>17</v>
      </c>
      <c r="E1171" t="s">
        <v>941</v>
      </c>
      <c r="F1171" t="s">
        <v>19</v>
      </c>
      <c r="G1171" t="s">
        <v>111</v>
      </c>
      <c r="H1171" t="s">
        <v>112</v>
      </c>
      <c r="I1171" t="s">
        <v>52</v>
      </c>
      <c r="J1171" t="s">
        <v>78</v>
      </c>
      <c r="K1171" t="s">
        <v>198</v>
      </c>
      <c r="L1171">
        <v>4</v>
      </c>
      <c r="M1171">
        <v>472.83</v>
      </c>
      <c r="N1171">
        <v>0.15</v>
      </c>
      <c r="O1171">
        <v>1891.32</v>
      </c>
      <c r="P1171">
        <v>363.48</v>
      </c>
    </row>
    <row r="1172" spans="1:16" x14ac:dyDescent="0.35">
      <c r="A1172" t="s">
        <v>1492</v>
      </c>
      <c r="B1172" s="1">
        <v>45461</v>
      </c>
      <c r="C1172" s="1">
        <v>45464</v>
      </c>
      <c r="D1172" t="s">
        <v>59</v>
      </c>
      <c r="E1172" t="s">
        <v>276</v>
      </c>
      <c r="F1172" t="s">
        <v>35</v>
      </c>
      <c r="G1172" t="s">
        <v>181</v>
      </c>
      <c r="H1172" t="s">
        <v>123</v>
      </c>
      <c r="I1172" t="s">
        <v>52</v>
      </c>
      <c r="J1172" t="s">
        <v>194</v>
      </c>
      <c r="K1172" t="s">
        <v>195</v>
      </c>
      <c r="L1172">
        <v>5</v>
      </c>
      <c r="M1172">
        <v>551.71</v>
      </c>
      <c r="N1172">
        <v>0</v>
      </c>
      <c r="O1172">
        <v>2758.55</v>
      </c>
      <c r="P1172">
        <v>-247.24</v>
      </c>
    </row>
    <row r="1173" spans="1:16" x14ac:dyDescent="0.35">
      <c r="A1173" t="s">
        <v>1493</v>
      </c>
      <c r="B1173" s="1">
        <v>45147</v>
      </c>
      <c r="C1173" s="1">
        <v>45151</v>
      </c>
      <c r="D1173" t="s">
        <v>59</v>
      </c>
      <c r="E1173" t="s">
        <v>727</v>
      </c>
      <c r="F1173" t="s">
        <v>19</v>
      </c>
      <c r="G1173" t="s">
        <v>67</v>
      </c>
      <c r="H1173" t="s">
        <v>36</v>
      </c>
      <c r="I1173" t="s">
        <v>30</v>
      </c>
      <c r="J1173" t="s">
        <v>47</v>
      </c>
      <c r="K1173" t="s">
        <v>94</v>
      </c>
      <c r="L1173">
        <v>12</v>
      </c>
      <c r="M1173">
        <v>663.47</v>
      </c>
      <c r="N1173">
        <v>0.3</v>
      </c>
      <c r="O1173">
        <v>7961.64</v>
      </c>
      <c r="P1173">
        <v>1895.02</v>
      </c>
    </row>
    <row r="1174" spans="1:16" x14ac:dyDescent="0.35">
      <c r="A1174" t="s">
        <v>1494</v>
      </c>
      <c r="B1174" s="1">
        <v>45550</v>
      </c>
      <c r="C1174" s="1">
        <v>45554</v>
      </c>
      <c r="D1174" t="s">
        <v>17</v>
      </c>
      <c r="E1174" t="s">
        <v>110</v>
      </c>
      <c r="F1174" t="s">
        <v>27</v>
      </c>
      <c r="G1174" t="s">
        <v>288</v>
      </c>
      <c r="H1174" t="s">
        <v>129</v>
      </c>
      <c r="I1174" t="s">
        <v>52</v>
      </c>
      <c r="J1174" t="s">
        <v>78</v>
      </c>
      <c r="K1174" t="s">
        <v>96</v>
      </c>
      <c r="L1174">
        <v>7</v>
      </c>
      <c r="M1174">
        <v>470.93</v>
      </c>
      <c r="N1174">
        <v>0.2</v>
      </c>
      <c r="O1174">
        <v>3296.51</v>
      </c>
      <c r="P1174">
        <v>958.28</v>
      </c>
    </row>
    <row r="1175" spans="1:16" x14ac:dyDescent="0.35">
      <c r="A1175" t="s">
        <v>1495</v>
      </c>
      <c r="B1175" s="1">
        <v>44928</v>
      </c>
      <c r="C1175" s="1">
        <v>44929</v>
      </c>
      <c r="D1175" t="s">
        <v>59</v>
      </c>
      <c r="E1175" t="s">
        <v>180</v>
      </c>
      <c r="F1175" t="s">
        <v>35</v>
      </c>
      <c r="G1175" t="s">
        <v>332</v>
      </c>
      <c r="H1175" t="s">
        <v>83</v>
      </c>
      <c r="I1175" t="s">
        <v>52</v>
      </c>
      <c r="J1175" t="s">
        <v>68</v>
      </c>
      <c r="K1175" t="s">
        <v>108</v>
      </c>
      <c r="L1175">
        <v>3</v>
      </c>
      <c r="M1175">
        <v>340.31</v>
      </c>
      <c r="N1175">
        <v>0.2</v>
      </c>
      <c r="O1175">
        <v>1020.93</v>
      </c>
      <c r="P1175">
        <v>-84.57</v>
      </c>
    </row>
    <row r="1176" spans="1:16" x14ac:dyDescent="0.35">
      <c r="A1176" t="s">
        <v>1496</v>
      </c>
      <c r="B1176" s="1">
        <v>45124</v>
      </c>
      <c r="C1176" s="1">
        <v>45131</v>
      </c>
      <c r="D1176" t="s">
        <v>44</v>
      </c>
      <c r="E1176" t="s">
        <v>435</v>
      </c>
      <c r="F1176" t="s">
        <v>27</v>
      </c>
      <c r="G1176" t="s">
        <v>72</v>
      </c>
      <c r="H1176" t="s">
        <v>62</v>
      </c>
      <c r="I1176" t="s">
        <v>30</v>
      </c>
      <c r="J1176" t="s">
        <v>99</v>
      </c>
      <c r="K1176" t="s">
        <v>154</v>
      </c>
      <c r="L1176">
        <v>10</v>
      </c>
      <c r="M1176">
        <v>182.82</v>
      </c>
      <c r="N1176">
        <v>0.15</v>
      </c>
      <c r="O1176">
        <v>1828.2</v>
      </c>
      <c r="P1176">
        <v>99.87</v>
      </c>
    </row>
    <row r="1177" spans="1:16" x14ac:dyDescent="0.35">
      <c r="A1177" t="s">
        <v>1497</v>
      </c>
      <c r="B1177" s="1">
        <v>45518</v>
      </c>
      <c r="C1177" s="1">
        <v>45524</v>
      </c>
      <c r="D1177" t="s">
        <v>59</v>
      </c>
      <c r="E1177" t="s">
        <v>213</v>
      </c>
      <c r="F1177" t="s">
        <v>35</v>
      </c>
      <c r="G1177" t="s">
        <v>51</v>
      </c>
      <c r="H1177" t="s">
        <v>21</v>
      </c>
      <c r="I1177" t="s">
        <v>30</v>
      </c>
      <c r="J1177" t="s">
        <v>47</v>
      </c>
      <c r="K1177" t="s">
        <v>94</v>
      </c>
      <c r="L1177">
        <v>11</v>
      </c>
      <c r="M1177">
        <v>483.17</v>
      </c>
      <c r="N1177">
        <v>0</v>
      </c>
      <c r="O1177">
        <v>5314.87</v>
      </c>
      <c r="P1177">
        <v>720.12</v>
      </c>
    </row>
    <row r="1178" spans="1:16" x14ac:dyDescent="0.35">
      <c r="A1178" t="s">
        <v>603</v>
      </c>
      <c r="B1178" s="1">
        <v>45284</v>
      </c>
      <c r="C1178" s="1">
        <v>45285</v>
      </c>
      <c r="D1178" t="s">
        <v>65</v>
      </c>
      <c r="E1178" t="s">
        <v>1498</v>
      </c>
      <c r="F1178" t="s">
        <v>35</v>
      </c>
      <c r="G1178" t="s">
        <v>111</v>
      </c>
      <c r="H1178" t="s">
        <v>129</v>
      </c>
      <c r="I1178" t="s">
        <v>22</v>
      </c>
      <c r="J1178" t="s">
        <v>115</v>
      </c>
      <c r="K1178" t="s">
        <v>147</v>
      </c>
      <c r="L1178">
        <v>6</v>
      </c>
      <c r="M1178">
        <v>205.96</v>
      </c>
      <c r="N1178">
        <v>0</v>
      </c>
      <c r="O1178">
        <v>1235.76</v>
      </c>
      <c r="P1178">
        <v>389.77</v>
      </c>
    </row>
    <row r="1179" spans="1:16" x14ac:dyDescent="0.35">
      <c r="A1179" t="s">
        <v>1499</v>
      </c>
      <c r="B1179" s="1">
        <v>45540</v>
      </c>
      <c r="C1179" s="1">
        <v>45547</v>
      </c>
      <c r="D1179" t="s">
        <v>59</v>
      </c>
      <c r="E1179" t="s">
        <v>110</v>
      </c>
      <c r="F1179" t="s">
        <v>19</v>
      </c>
      <c r="G1179" t="s">
        <v>72</v>
      </c>
      <c r="H1179" t="s">
        <v>73</v>
      </c>
      <c r="I1179" t="s">
        <v>22</v>
      </c>
      <c r="J1179" t="s">
        <v>23</v>
      </c>
      <c r="K1179" t="s">
        <v>24</v>
      </c>
      <c r="L1179">
        <v>9</v>
      </c>
      <c r="M1179">
        <v>333.57</v>
      </c>
      <c r="N1179">
        <v>0</v>
      </c>
      <c r="O1179">
        <v>3002.13</v>
      </c>
      <c r="P1179">
        <v>714.38</v>
      </c>
    </row>
    <row r="1180" spans="1:16" x14ac:dyDescent="0.35">
      <c r="A1180" t="s">
        <v>1500</v>
      </c>
      <c r="B1180" s="1">
        <v>45526</v>
      </c>
      <c r="C1180" s="1">
        <v>45527</v>
      </c>
      <c r="D1180" t="s">
        <v>59</v>
      </c>
      <c r="E1180" t="s">
        <v>510</v>
      </c>
      <c r="F1180" t="s">
        <v>19</v>
      </c>
      <c r="G1180" t="s">
        <v>103</v>
      </c>
      <c r="H1180" t="s">
        <v>73</v>
      </c>
      <c r="I1180" t="s">
        <v>22</v>
      </c>
      <c r="J1180" t="s">
        <v>37</v>
      </c>
      <c r="K1180" t="s">
        <v>38</v>
      </c>
      <c r="L1180">
        <v>1</v>
      </c>
      <c r="M1180">
        <v>79.55</v>
      </c>
      <c r="N1180">
        <v>0.2</v>
      </c>
      <c r="O1180">
        <v>79.55</v>
      </c>
      <c r="P1180">
        <v>-0.09</v>
      </c>
    </row>
    <row r="1181" spans="1:16" x14ac:dyDescent="0.35">
      <c r="A1181" t="s">
        <v>1501</v>
      </c>
      <c r="B1181" s="1">
        <v>45381</v>
      </c>
      <c r="C1181" s="1">
        <v>45387</v>
      </c>
      <c r="D1181" t="s">
        <v>59</v>
      </c>
      <c r="E1181" t="s">
        <v>1043</v>
      </c>
      <c r="F1181" t="s">
        <v>19</v>
      </c>
      <c r="G1181" t="s">
        <v>51</v>
      </c>
      <c r="H1181" t="s">
        <v>36</v>
      </c>
      <c r="I1181" t="s">
        <v>22</v>
      </c>
      <c r="J1181" t="s">
        <v>23</v>
      </c>
      <c r="K1181" t="s">
        <v>289</v>
      </c>
      <c r="L1181">
        <v>12</v>
      </c>
      <c r="M1181">
        <v>489.57</v>
      </c>
      <c r="N1181">
        <v>0</v>
      </c>
      <c r="O1181">
        <v>5874.84</v>
      </c>
      <c r="P1181">
        <v>-722.61</v>
      </c>
    </row>
    <row r="1182" spans="1:16" x14ac:dyDescent="0.35">
      <c r="A1182" t="s">
        <v>1502</v>
      </c>
      <c r="B1182" s="1">
        <v>45493</v>
      </c>
      <c r="C1182" s="1">
        <v>45498</v>
      </c>
      <c r="D1182" t="s">
        <v>17</v>
      </c>
      <c r="F1182" t="s">
        <v>35</v>
      </c>
      <c r="G1182" t="s">
        <v>51</v>
      </c>
      <c r="H1182" t="s">
        <v>36</v>
      </c>
      <c r="I1182" t="s">
        <v>52</v>
      </c>
      <c r="J1182" t="s">
        <v>78</v>
      </c>
      <c r="K1182" t="s">
        <v>79</v>
      </c>
      <c r="L1182">
        <v>4</v>
      </c>
      <c r="M1182">
        <v>112.99</v>
      </c>
      <c r="N1182">
        <v>0</v>
      </c>
      <c r="O1182">
        <v>451.96</v>
      </c>
      <c r="P1182">
        <v>3.51</v>
      </c>
    </row>
    <row r="1183" spans="1:16" x14ac:dyDescent="0.35">
      <c r="A1183" t="s">
        <v>1503</v>
      </c>
      <c r="B1183" s="1">
        <v>45082</v>
      </c>
      <c r="C1183" s="1">
        <v>45086</v>
      </c>
      <c r="D1183" t="s">
        <v>17</v>
      </c>
      <c r="E1183" t="s">
        <v>263</v>
      </c>
      <c r="F1183" t="s">
        <v>35</v>
      </c>
      <c r="G1183" t="s">
        <v>61</v>
      </c>
      <c r="H1183" t="s">
        <v>73</v>
      </c>
      <c r="I1183" t="s">
        <v>30</v>
      </c>
      <c r="J1183" t="s">
        <v>41</v>
      </c>
      <c r="K1183" t="s">
        <v>191</v>
      </c>
      <c r="L1183">
        <v>12</v>
      </c>
      <c r="M1183">
        <v>348.71</v>
      </c>
      <c r="N1183">
        <v>0.1</v>
      </c>
      <c r="O1183">
        <v>4184.5200000000004</v>
      </c>
      <c r="P1183">
        <v>30.35</v>
      </c>
    </row>
    <row r="1184" spans="1:16" x14ac:dyDescent="0.35">
      <c r="A1184" t="s">
        <v>1504</v>
      </c>
      <c r="B1184" s="1">
        <v>45197</v>
      </c>
      <c r="C1184" s="1">
        <v>45198</v>
      </c>
      <c r="D1184" t="s">
        <v>59</v>
      </c>
      <c r="E1184" t="s">
        <v>26</v>
      </c>
      <c r="F1184" t="s">
        <v>27</v>
      </c>
      <c r="G1184" t="s">
        <v>45</v>
      </c>
      <c r="H1184" t="s">
        <v>123</v>
      </c>
      <c r="I1184" t="s">
        <v>52</v>
      </c>
      <c r="J1184" t="s">
        <v>68</v>
      </c>
      <c r="K1184" t="s">
        <v>108</v>
      </c>
      <c r="L1184">
        <v>4</v>
      </c>
      <c r="M1184">
        <v>620.30999999999995</v>
      </c>
      <c r="N1184">
        <v>0.3</v>
      </c>
      <c r="O1184">
        <v>2481.2399999999998</v>
      </c>
      <c r="P1184">
        <v>-44.68</v>
      </c>
    </row>
    <row r="1185" spans="1:16" x14ac:dyDescent="0.35">
      <c r="A1185" t="s">
        <v>1505</v>
      </c>
      <c r="B1185" s="1">
        <v>45164</v>
      </c>
      <c r="C1185" s="1">
        <v>45166</v>
      </c>
      <c r="D1185" t="s">
        <v>65</v>
      </c>
      <c r="E1185" t="s">
        <v>685</v>
      </c>
      <c r="F1185" t="s">
        <v>27</v>
      </c>
      <c r="G1185" t="s">
        <v>86</v>
      </c>
      <c r="H1185" t="s">
        <v>29</v>
      </c>
      <c r="I1185" t="s">
        <v>52</v>
      </c>
      <c r="J1185" t="s">
        <v>194</v>
      </c>
      <c r="K1185" t="s">
        <v>195</v>
      </c>
      <c r="L1185">
        <v>8</v>
      </c>
      <c r="M1185">
        <v>441.32</v>
      </c>
      <c r="N1185">
        <v>0</v>
      </c>
      <c r="O1185">
        <v>3530.56</v>
      </c>
      <c r="P1185">
        <v>309.51</v>
      </c>
    </row>
    <row r="1186" spans="1:16" x14ac:dyDescent="0.35">
      <c r="A1186" t="s">
        <v>1506</v>
      </c>
      <c r="B1186" s="1">
        <v>45273</v>
      </c>
      <c r="C1186" s="1">
        <v>45277</v>
      </c>
      <c r="D1186" t="s">
        <v>59</v>
      </c>
      <c r="E1186" t="s">
        <v>403</v>
      </c>
      <c r="F1186" t="s">
        <v>19</v>
      </c>
      <c r="G1186" t="s">
        <v>82</v>
      </c>
      <c r="H1186" t="s">
        <v>46</v>
      </c>
      <c r="I1186" t="s">
        <v>30</v>
      </c>
      <c r="J1186" t="s">
        <v>99</v>
      </c>
      <c r="K1186" t="s">
        <v>100</v>
      </c>
      <c r="L1186">
        <v>9</v>
      </c>
      <c r="M1186">
        <v>690.68</v>
      </c>
      <c r="N1186">
        <v>0.15</v>
      </c>
      <c r="O1186">
        <v>6216.12</v>
      </c>
      <c r="P1186">
        <v>-510.44</v>
      </c>
    </row>
    <row r="1187" spans="1:16" x14ac:dyDescent="0.35">
      <c r="A1187" t="s">
        <v>1507</v>
      </c>
      <c r="B1187" s="1">
        <v>45023</v>
      </c>
      <c r="C1187" s="1">
        <v>45029</v>
      </c>
      <c r="D1187" t="s">
        <v>17</v>
      </c>
      <c r="E1187" t="s">
        <v>186</v>
      </c>
      <c r="F1187" t="s">
        <v>27</v>
      </c>
      <c r="G1187" t="s">
        <v>61</v>
      </c>
      <c r="H1187" t="s">
        <v>62</v>
      </c>
      <c r="I1187" t="s">
        <v>22</v>
      </c>
      <c r="J1187" t="s">
        <v>74</v>
      </c>
      <c r="K1187" t="s">
        <v>253</v>
      </c>
      <c r="L1187">
        <v>4</v>
      </c>
      <c r="M1187">
        <v>220.78</v>
      </c>
      <c r="N1187">
        <v>0</v>
      </c>
      <c r="O1187">
        <v>883.12</v>
      </c>
      <c r="P1187">
        <v>146.1</v>
      </c>
    </row>
    <row r="1188" spans="1:16" x14ac:dyDescent="0.35">
      <c r="A1188" t="s">
        <v>1508</v>
      </c>
      <c r="B1188" s="1">
        <v>45215</v>
      </c>
      <c r="C1188" s="1">
        <v>45218</v>
      </c>
      <c r="D1188" t="s">
        <v>17</v>
      </c>
      <c r="E1188" t="s">
        <v>941</v>
      </c>
      <c r="F1188" t="s">
        <v>27</v>
      </c>
      <c r="G1188" t="s">
        <v>332</v>
      </c>
      <c r="H1188" t="s">
        <v>83</v>
      </c>
      <c r="I1188" t="s">
        <v>30</v>
      </c>
      <c r="J1188" t="s">
        <v>47</v>
      </c>
      <c r="K1188" t="s">
        <v>48</v>
      </c>
      <c r="L1188">
        <v>3</v>
      </c>
      <c r="M1188">
        <v>726.57</v>
      </c>
      <c r="N1188">
        <v>0</v>
      </c>
      <c r="O1188">
        <v>2179.71</v>
      </c>
      <c r="P1188">
        <v>-62.16</v>
      </c>
    </row>
    <row r="1189" spans="1:16" x14ac:dyDescent="0.35">
      <c r="A1189" t="s">
        <v>1509</v>
      </c>
      <c r="B1189" s="1">
        <v>45433</v>
      </c>
      <c r="C1189" s="1">
        <v>45434</v>
      </c>
      <c r="D1189" t="s">
        <v>65</v>
      </c>
      <c r="E1189" t="s">
        <v>114</v>
      </c>
      <c r="F1189" t="s">
        <v>27</v>
      </c>
      <c r="G1189" t="s">
        <v>28</v>
      </c>
      <c r="H1189" t="s">
        <v>159</v>
      </c>
      <c r="I1189" t="s">
        <v>52</v>
      </c>
      <c r="J1189" t="s">
        <v>78</v>
      </c>
      <c r="K1189" t="s">
        <v>198</v>
      </c>
      <c r="L1189">
        <v>6</v>
      </c>
      <c r="M1189">
        <v>191.75</v>
      </c>
      <c r="O1189">
        <v>1150.5</v>
      </c>
      <c r="P1189">
        <v>265.54000000000002</v>
      </c>
    </row>
    <row r="1190" spans="1:16" x14ac:dyDescent="0.35">
      <c r="A1190" t="s">
        <v>1510</v>
      </c>
      <c r="B1190" s="1">
        <v>45328</v>
      </c>
      <c r="C1190" s="1">
        <v>45331</v>
      </c>
      <c r="D1190" t="s">
        <v>59</v>
      </c>
      <c r="E1190" t="s">
        <v>737</v>
      </c>
      <c r="F1190" t="s">
        <v>19</v>
      </c>
      <c r="G1190" t="s">
        <v>103</v>
      </c>
      <c r="H1190" t="s">
        <v>73</v>
      </c>
      <c r="I1190" t="s">
        <v>52</v>
      </c>
      <c r="J1190" t="s">
        <v>68</v>
      </c>
      <c r="K1190" t="s">
        <v>108</v>
      </c>
      <c r="L1190">
        <v>8</v>
      </c>
      <c r="M1190">
        <v>451.11</v>
      </c>
      <c r="N1190">
        <v>0</v>
      </c>
      <c r="O1190">
        <v>3608.88</v>
      </c>
      <c r="P1190">
        <v>389.15</v>
      </c>
    </row>
    <row r="1191" spans="1:16" x14ac:dyDescent="0.35">
      <c r="A1191" t="s">
        <v>1511</v>
      </c>
      <c r="B1191" s="1">
        <v>45151</v>
      </c>
      <c r="C1191" s="1">
        <v>45153</v>
      </c>
      <c r="D1191" t="s">
        <v>59</v>
      </c>
      <c r="E1191" t="s">
        <v>193</v>
      </c>
      <c r="F1191" t="s">
        <v>19</v>
      </c>
      <c r="G1191" t="s">
        <v>61</v>
      </c>
      <c r="H1191" t="s">
        <v>73</v>
      </c>
      <c r="I1191" t="s">
        <v>22</v>
      </c>
      <c r="J1191" t="s">
        <v>23</v>
      </c>
      <c r="K1191" t="s">
        <v>178</v>
      </c>
      <c r="L1191">
        <v>8</v>
      </c>
      <c r="M1191">
        <v>602.48</v>
      </c>
      <c r="N1191">
        <v>0.15</v>
      </c>
      <c r="O1191">
        <v>4819.84</v>
      </c>
      <c r="P1191">
        <v>712.02</v>
      </c>
    </row>
    <row r="1192" spans="1:16" x14ac:dyDescent="0.35">
      <c r="A1192" t="s">
        <v>1512</v>
      </c>
      <c r="B1192" s="1">
        <v>44946</v>
      </c>
      <c r="C1192" s="1">
        <v>44953</v>
      </c>
      <c r="D1192" t="s">
        <v>44</v>
      </c>
      <c r="E1192" t="s">
        <v>419</v>
      </c>
      <c r="F1192" t="s">
        <v>19</v>
      </c>
      <c r="G1192" t="s">
        <v>132</v>
      </c>
      <c r="H1192" t="s">
        <v>129</v>
      </c>
      <c r="I1192" t="s">
        <v>30</v>
      </c>
      <c r="J1192" t="s">
        <v>99</v>
      </c>
      <c r="K1192" t="s">
        <v>247</v>
      </c>
      <c r="L1192">
        <v>11</v>
      </c>
      <c r="M1192">
        <v>390.82</v>
      </c>
      <c r="N1192">
        <v>0</v>
      </c>
      <c r="O1192">
        <v>4299.0200000000004</v>
      </c>
      <c r="P1192">
        <v>774.69</v>
      </c>
    </row>
    <row r="1193" spans="1:16" x14ac:dyDescent="0.35">
      <c r="A1193" t="s">
        <v>1513</v>
      </c>
      <c r="B1193" s="1">
        <v>45570</v>
      </c>
      <c r="C1193" s="1">
        <v>45577</v>
      </c>
      <c r="D1193" t="s">
        <v>65</v>
      </c>
      <c r="E1193" t="s">
        <v>984</v>
      </c>
      <c r="F1193" t="s">
        <v>27</v>
      </c>
      <c r="G1193" t="s">
        <v>61</v>
      </c>
      <c r="H1193" t="s">
        <v>62</v>
      </c>
      <c r="I1193" t="s">
        <v>30</v>
      </c>
      <c r="J1193" t="s">
        <v>31</v>
      </c>
      <c r="K1193" t="s">
        <v>87</v>
      </c>
      <c r="L1193">
        <v>8</v>
      </c>
      <c r="M1193">
        <v>110.45</v>
      </c>
      <c r="N1193">
        <v>0</v>
      </c>
      <c r="O1193">
        <v>883.6</v>
      </c>
      <c r="P1193">
        <v>157.04</v>
      </c>
    </row>
    <row r="1194" spans="1:16" x14ac:dyDescent="0.35">
      <c r="A1194" t="s">
        <v>1514</v>
      </c>
      <c r="B1194" s="1">
        <v>45486</v>
      </c>
      <c r="C1194" s="1">
        <v>45489</v>
      </c>
      <c r="D1194" t="s">
        <v>59</v>
      </c>
      <c r="E1194" t="s">
        <v>173</v>
      </c>
      <c r="F1194" t="s">
        <v>35</v>
      </c>
      <c r="G1194" t="s">
        <v>90</v>
      </c>
      <c r="H1194" t="s">
        <v>62</v>
      </c>
      <c r="I1194" t="s">
        <v>30</v>
      </c>
      <c r="J1194" t="s">
        <v>99</v>
      </c>
      <c r="K1194" t="s">
        <v>154</v>
      </c>
      <c r="L1194">
        <v>1</v>
      </c>
      <c r="M1194">
        <v>212.86</v>
      </c>
      <c r="N1194">
        <v>0</v>
      </c>
      <c r="O1194">
        <v>212.86</v>
      </c>
      <c r="P1194">
        <v>0.04</v>
      </c>
    </row>
    <row r="1195" spans="1:16" x14ac:dyDescent="0.35">
      <c r="A1195" t="s">
        <v>1515</v>
      </c>
      <c r="B1195" s="1">
        <v>44992</v>
      </c>
      <c r="C1195" s="1">
        <v>44998</v>
      </c>
      <c r="D1195" t="s">
        <v>17</v>
      </c>
      <c r="E1195" t="s">
        <v>120</v>
      </c>
      <c r="F1195" t="s">
        <v>27</v>
      </c>
      <c r="G1195" t="s">
        <v>132</v>
      </c>
      <c r="H1195" t="s">
        <v>129</v>
      </c>
      <c r="I1195" t="s">
        <v>52</v>
      </c>
      <c r="J1195" t="s">
        <v>53</v>
      </c>
      <c r="K1195" t="s">
        <v>54</v>
      </c>
      <c r="L1195">
        <v>7</v>
      </c>
      <c r="M1195">
        <v>457.7</v>
      </c>
      <c r="N1195">
        <v>0.2</v>
      </c>
      <c r="O1195">
        <v>3203.9</v>
      </c>
      <c r="P1195">
        <v>873.88</v>
      </c>
    </row>
    <row r="1196" spans="1:16" x14ac:dyDescent="0.35">
      <c r="A1196" t="s">
        <v>1516</v>
      </c>
      <c r="B1196" s="1">
        <v>45224</v>
      </c>
      <c r="C1196" s="1">
        <v>45228</v>
      </c>
      <c r="D1196" t="s">
        <v>17</v>
      </c>
      <c r="E1196" t="s">
        <v>176</v>
      </c>
      <c r="F1196" t="s">
        <v>35</v>
      </c>
      <c r="G1196" t="s">
        <v>86</v>
      </c>
      <c r="H1196" t="s">
        <v>159</v>
      </c>
      <c r="I1196" t="s">
        <v>30</v>
      </c>
      <c r="J1196" t="s">
        <v>99</v>
      </c>
      <c r="K1196" t="s">
        <v>247</v>
      </c>
      <c r="L1196">
        <v>4</v>
      </c>
      <c r="M1196">
        <v>797.42</v>
      </c>
      <c r="N1196">
        <v>0.2</v>
      </c>
      <c r="O1196">
        <v>3189.68</v>
      </c>
      <c r="P1196">
        <v>-200.5</v>
      </c>
    </row>
    <row r="1197" spans="1:16" x14ac:dyDescent="0.35">
      <c r="A1197" t="s">
        <v>1517</v>
      </c>
      <c r="B1197" s="1">
        <v>45414</v>
      </c>
      <c r="C1197" s="1">
        <v>45420</v>
      </c>
      <c r="D1197" t="s">
        <v>17</v>
      </c>
      <c r="E1197" t="s">
        <v>279</v>
      </c>
      <c r="F1197" t="s">
        <v>35</v>
      </c>
      <c r="G1197" t="s">
        <v>61</v>
      </c>
      <c r="H1197" t="s">
        <v>62</v>
      </c>
      <c r="I1197" t="s">
        <v>22</v>
      </c>
      <c r="J1197" t="s">
        <v>115</v>
      </c>
      <c r="K1197" t="s">
        <v>147</v>
      </c>
      <c r="L1197">
        <v>2</v>
      </c>
      <c r="M1197">
        <v>229.37</v>
      </c>
      <c r="N1197">
        <v>0.1</v>
      </c>
      <c r="O1197">
        <v>458.74</v>
      </c>
      <c r="P1197">
        <v>-15.87</v>
      </c>
    </row>
    <row r="1198" spans="1:16" x14ac:dyDescent="0.35">
      <c r="A1198" t="s">
        <v>1518</v>
      </c>
      <c r="B1198" s="1">
        <v>45579</v>
      </c>
      <c r="C1198" s="1">
        <v>45580</v>
      </c>
      <c r="D1198" t="s">
        <v>44</v>
      </c>
      <c r="E1198" t="s">
        <v>400</v>
      </c>
      <c r="F1198" t="s">
        <v>19</v>
      </c>
      <c r="G1198" t="s">
        <v>90</v>
      </c>
      <c r="H1198" t="s">
        <v>73</v>
      </c>
      <c r="I1198" t="s">
        <v>22</v>
      </c>
      <c r="J1198" t="s">
        <v>37</v>
      </c>
      <c r="K1198" t="s">
        <v>38</v>
      </c>
      <c r="L1198">
        <v>2</v>
      </c>
      <c r="M1198">
        <v>489.43</v>
      </c>
      <c r="N1198">
        <v>0.15</v>
      </c>
      <c r="O1198">
        <v>978.86</v>
      </c>
      <c r="P1198">
        <v>75.55</v>
      </c>
    </row>
    <row r="1199" spans="1:16" x14ac:dyDescent="0.35">
      <c r="A1199" t="s">
        <v>1519</v>
      </c>
      <c r="B1199" s="1">
        <v>45259</v>
      </c>
      <c r="C1199" s="1">
        <v>45266</v>
      </c>
      <c r="D1199" t="s">
        <v>65</v>
      </c>
      <c r="E1199" t="s">
        <v>66</v>
      </c>
      <c r="F1199" t="s">
        <v>27</v>
      </c>
      <c r="G1199" t="s">
        <v>51</v>
      </c>
      <c r="H1199" t="s">
        <v>36</v>
      </c>
      <c r="I1199" t="s">
        <v>22</v>
      </c>
      <c r="J1199" t="s">
        <v>115</v>
      </c>
      <c r="K1199" t="s">
        <v>116</v>
      </c>
      <c r="L1199">
        <v>-9</v>
      </c>
      <c r="M1199">
        <v>196.47</v>
      </c>
      <c r="N1199">
        <v>0.3</v>
      </c>
      <c r="O1199">
        <v>1768.23</v>
      </c>
      <c r="P1199">
        <v>221.24</v>
      </c>
    </row>
    <row r="1200" spans="1:16" x14ac:dyDescent="0.35">
      <c r="A1200" t="s">
        <v>1520</v>
      </c>
      <c r="B1200" s="1">
        <v>45131</v>
      </c>
      <c r="C1200" s="1">
        <v>45134</v>
      </c>
      <c r="D1200" t="s">
        <v>59</v>
      </c>
      <c r="E1200" t="s">
        <v>227</v>
      </c>
      <c r="F1200" t="s">
        <v>35</v>
      </c>
      <c r="G1200" t="s">
        <v>187</v>
      </c>
      <c r="H1200" t="s">
        <v>159</v>
      </c>
      <c r="I1200" t="s">
        <v>52</v>
      </c>
      <c r="J1200" t="s">
        <v>68</v>
      </c>
      <c r="K1200" t="s">
        <v>69</v>
      </c>
      <c r="L1200">
        <v>11</v>
      </c>
      <c r="M1200">
        <v>417.73</v>
      </c>
      <c r="N1200">
        <v>0</v>
      </c>
      <c r="O1200">
        <v>4595.03</v>
      </c>
      <c r="P1200">
        <v>174.53</v>
      </c>
    </row>
    <row r="1201" spans="1:16" x14ac:dyDescent="0.35">
      <c r="A1201" t="s">
        <v>1521</v>
      </c>
      <c r="B1201" s="1">
        <v>44934</v>
      </c>
      <c r="C1201" s="1">
        <v>44938</v>
      </c>
      <c r="D1201" t="s">
        <v>44</v>
      </c>
      <c r="E1201" t="s">
        <v>433</v>
      </c>
      <c r="F1201" t="s">
        <v>27</v>
      </c>
      <c r="G1201" t="s">
        <v>288</v>
      </c>
      <c r="H1201" t="s">
        <v>112</v>
      </c>
      <c r="I1201" t="s">
        <v>52</v>
      </c>
      <c r="J1201" t="s">
        <v>53</v>
      </c>
      <c r="K1201" t="s">
        <v>54</v>
      </c>
      <c r="L1201">
        <v>11</v>
      </c>
      <c r="M1201">
        <v>726.55</v>
      </c>
      <c r="N1201">
        <v>0</v>
      </c>
      <c r="O1201">
        <v>7992.05</v>
      </c>
      <c r="P1201">
        <v>387.9</v>
      </c>
    </row>
    <row r="1202" spans="1:16" x14ac:dyDescent="0.35">
      <c r="A1202" t="s">
        <v>1522</v>
      </c>
      <c r="B1202" s="1">
        <v>45205</v>
      </c>
      <c r="C1202" s="1">
        <v>45211</v>
      </c>
      <c r="D1202" t="s">
        <v>44</v>
      </c>
      <c r="E1202" t="s">
        <v>229</v>
      </c>
      <c r="F1202" t="s">
        <v>35</v>
      </c>
      <c r="G1202" t="s">
        <v>181</v>
      </c>
      <c r="H1202" t="s">
        <v>123</v>
      </c>
      <c r="I1202" t="s">
        <v>52</v>
      </c>
      <c r="J1202" t="s">
        <v>194</v>
      </c>
      <c r="K1202" t="s">
        <v>361</v>
      </c>
      <c r="L1202">
        <v>7</v>
      </c>
      <c r="M1202">
        <v>542.35</v>
      </c>
      <c r="O1202">
        <v>3796.45</v>
      </c>
      <c r="P1202">
        <v>-450.63</v>
      </c>
    </row>
    <row r="1203" spans="1:16" x14ac:dyDescent="0.35">
      <c r="A1203" t="s">
        <v>1523</v>
      </c>
      <c r="B1203" s="1">
        <v>45454</v>
      </c>
      <c r="C1203" s="1">
        <v>45461</v>
      </c>
      <c r="D1203" t="s">
        <v>65</v>
      </c>
      <c r="E1203" t="s">
        <v>781</v>
      </c>
      <c r="F1203" t="s">
        <v>19</v>
      </c>
      <c r="G1203" t="s">
        <v>61</v>
      </c>
      <c r="H1203" t="s">
        <v>62</v>
      </c>
      <c r="I1203" t="s">
        <v>52</v>
      </c>
      <c r="J1203" t="s">
        <v>194</v>
      </c>
      <c r="K1203" t="s">
        <v>306</v>
      </c>
      <c r="L1203">
        <v>12</v>
      </c>
      <c r="M1203">
        <v>267.58999999999997</v>
      </c>
      <c r="N1203">
        <v>0</v>
      </c>
      <c r="O1203">
        <v>3211.08</v>
      </c>
    </row>
    <row r="1204" spans="1:16" x14ac:dyDescent="0.35">
      <c r="A1204" t="s">
        <v>1524</v>
      </c>
      <c r="B1204" s="1">
        <v>45206</v>
      </c>
      <c r="C1204" s="1">
        <v>45209</v>
      </c>
      <c r="D1204" t="s">
        <v>59</v>
      </c>
      <c r="E1204" t="s">
        <v>233</v>
      </c>
      <c r="F1204" t="s">
        <v>19</v>
      </c>
      <c r="G1204" t="s">
        <v>181</v>
      </c>
      <c r="H1204" t="s">
        <v>83</v>
      </c>
      <c r="I1204" t="s">
        <v>52</v>
      </c>
      <c r="J1204" t="s">
        <v>78</v>
      </c>
      <c r="K1204" t="s">
        <v>198</v>
      </c>
      <c r="L1204">
        <v>7</v>
      </c>
      <c r="M1204">
        <v>163.1</v>
      </c>
      <c r="N1204">
        <v>0</v>
      </c>
      <c r="O1204">
        <v>1141.7</v>
      </c>
      <c r="P1204">
        <v>131.05000000000001</v>
      </c>
    </row>
    <row r="1205" spans="1:16" x14ac:dyDescent="0.35">
      <c r="A1205" t="s">
        <v>1525</v>
      </c>
      <c r="B1205" s="1">
        <v>45320</v>
      </c>
      <c r="C1205" s="1">
        <v>45324</v>
      </c>
      <c r="D1205" t="s">
        <v>65</v>
      </c>
      <c r="E1205" t="s">
        <v>193</v>
      </c>
      <c r="F1205" t="s">
        <v>19</v>
      </c>
      <c r="G1205" t="s">
        <v>72</v>
      </c>
      <c r="H1205" t="s">
        <v>62</v>
      </c>
      <c r="I1205" t="s">
        <v>52</v>
      </c>
      <c r="J1205" t="s">
        <v>68</v>
      </c>
      <c r="K1205" t="s">
        <v>216</v>
      </c>
      <c r="L1205">
        <v>3</v>
      </c>
      <c r="M1205">
        <v>374.41</v>
      </c>
      <c r="N1205">
        <v>0.2</v>
      </c>
      <c r="O1205">
        <v>1123.23</v>
      </c>
      <c r="P1205">
        <v>329.35</v>
      </c>
    </row>
    <row r="1206" spans="1:16" x14ac:dyDescent="0.35">
      <c r="A1206" t="s">
        <v>1526</v>
      </c>
      <c r="B1206" s="1">
        <v>45545</v>
      </c>
      <c r="C1206" s="1">
        <v>45546</v>
      </c>
      <c r="D1206" t="s">
        <v>59</v>
      </c>
      <c r="E1206" t="s">
        <v>229</v>
      </c>
      <c r="F1206" t="s">
        <v>35</v>
      </c>
      <c r="G1206" t="s">
        <v>103</v>
      </c>
      <c r="H1206" t="s">
        <v>73</v>
      </c>
      <c r="I1206" t="s">
        <v>30</v>
      </c>
      <c r="J1206" t="s">
        <v>41</v>
      </c>
      <c r="K1206" t="s">
        <v>105</v>
      </c>
      <c r="L1206">
        <v>8</v>
      </c>
      <c r="M1206">
        <v>354.69</v>
      </c>
      <c r="N1206">
        <v>0</v>
      </c>
      <c r="O1206">
        <v>2837.52</v>
      </c>
      <c r="P1206">
        <v>-0.11</v>
      </c>
    </row>
    <row r="1207" spans="1:16" x14ac:dyDescent="0.35">
      <c r="A1207" t="s">
        <v>1527</v>
      </c>
      <c r="B1207" s="1">
        <v>45171</v>
      </c>
      <c r="C1207" s="1">
        <v>45173</v>
      </c>
      <c r="D1207" t="s">
        <v>17</v>
      </c>
      <c r="E1207" t="s">
        <v>231</v>
      </c>
      <c r="F1207" t="s">
        <v>19</v>
      </c>
      <c r="G1207" t="s">
        <v>181</v>
      </c>
      <c r="H1207" t="s">
        <v>46</v>
      </c>
      <c r="I1207" t="s">
        <v>30</v>
      </c>
      <c r="J1207" t="s">
        <v>41</v>
      </c>
      <c r="K1207" t="s">
        <v>124</v>
      </c>
      <c r="L1207">
        <v>4</v>
      </c>
      <c r="M1207">
        <v>863.08</v>
      </c>
      <c r="N1207">
        <v>0</v>
      </c>
      <c r="O1207">
        <v>3452.32</v>
      </c>
      <c r="P1207">
        <v>857.77</v>
      </c>
    </row>
    <row r="1208" spans="1:16" x14ac:dyDescent="0.35">
      <c r="A1208" t="s">
        <v>867</v>
      </c>
      <c r="B1208" s="1">
        <v>45114</v>
      </c>
      <c r="C1208" s="1">
        <v>45120</v>
      </c>
      <c r="D1208" t="s">
        <v>17</v>
      </c>
      <c r="E1208" t="s">
        <v>342</v>
      </c>
      <c r="F1208" t="s">
        <v>27</v>
      </c>
      <c r="G1208" t="s">
        <v>103</v>
      </c>
      <c r="H1208" t="s">
        <v>62</v>
      </c>
      <c r="I1208" t="s">
        <v>22</v>
      </c>
      <c r="J1208" t="s">
        <v>74</v>
      </c>
      <c r="K1208" t="s">
        <v>165</v>
      </c>
      <c r="L1208">
        <v>11</v>
      </c>
      <c r="M1208">
        <v>486.28</v>
      </c>
      <c r="N1208">
        <v>0.2</v>
      </c>
      <c r="O1208">
        <v>5349.08</v>
      </c>
      <c r="P1208">
        <v>1648.31</v>
      </c>
    </row>
    <row r="1209" spans="1:16" x14ac:dyDescent="0.35">
      <c r="A1209" t="s">
        <v>1528</v>
      </c>
      <c r="B1209" s="1">
        <v>44956</v>
      </c>
      <c r="C1209" s="1">
        <v>44960</v>
      </c>
      <c r="D1209" t="s">
        <v>59</v>
      </c>
      <c r="E1209" t="s">
        <v>419</v>
      </c>
      <c r="F1209" t="s">
        <v>19</v>
      </c>
      <c r="G1209" t="s">
        <v>181</v>
      </c>
      <c r="H1209" t="s">
        <v>46</v>
      </c>
      <c r="I1209" t="s">
        <v>30</v>
      </c>
      <c r="J1209" t="s">
        <v>41</v>
      </c>
      <c r="K1209" t="s">
        <v>105</v>
      </c>
      <c r="L1209">
        <v>12</v>
      </c>
      <c r="M1209">
        <v>538.53</v>
      </c>
      <c r="N1209">
        <v>0.15</v>
      </c>
      <c r="O1209">
        <v>6462.36</v>
      </c>
      <c r="P1209">
        <v>1064.58</v>
      </c>
    </row>
    <row r="1210" spans="1:16" x14ac:dyDescent="0.35">
      <c r="A1210" t="s">
        <v>1529</v>
      </c>
      <c r="B1210" s="1">
        <v>45126</v>
      </c>
      <c r="C1210" s="1">
        <v>45131</v>
      </c>
      <c r="D1210" t="s">
        <v>59</v>
      </c>
      <c r="E1210" t="s">
        <v>163</v>
      </c>
      <c r="F1210" t="s">
        <v>35</v>
      </c>
      <c r="G1210" t="s">
        <v>332</v>
      </c>
      <c r="H1210" t="s">
        <v>83</v>
      </c>
      <c r="I1210" t="s">
        <v>52</v>
      </c>
      <c r="J1210" t="s">
        <v>78</v>
      </c>
      <c r="K1210" t="s">
        <v>198</v>
      </c>
      <c r="L1210">
        <v>4</v>
      </c>
      <c r="M1210">
        <v>311.69</v>
      </c>
      <c r="N1210">
        <v>0.15</v>
      </c>
      <c r="O1210">
        <v>1246.76</v>
      </c>
      <c r="P1210">
        <v>369.57</v>
      </c>
    </row>
    <row r="1211" spans="1:16" x14ac:dyDescent="0.35">
      <c r="A1211" t="s">
        <v>1530</v>
      </c>
      <c r="B1211" s="1">
        <v>45377</v>
      </c>
      <c r="C1211" s="1">
        <v>45383</v>
      </c>
      <c r="D1211" t="s">
        <v>17</v>
      </c>
      <c r="E1211" t="s">
        <v>299</v>
      </c>
      <c r="F1211" t="s">
        <v>27</v>
      </c>
      <c r="G1211" t="s">
        <v>211</v>
      </c>
      <c r="H1211" t="s">
        <v>159</v>
      </c>
      <c r="I1211" t="s">
        <v>52</v>
      </c>
      <c r="J1211" t="s">
        <v>194</v>
      </c>
      <c r="K1211" t="s">
        <v>361</v>
      </c>
      <c r="L1211">
        <v>8</v>
      </c>
      <c r="M1211">
        <v>376</v>
      </c>
      <c r="N1211">
        <v>0.15</v>
      </c>
      <c r="O1211">
        <v>3008</v>
      </c>
      <c r="P1211">
        <v>1050.3499999999999</v>
      </c>
    </row>
    <row r="1212" spans="1:16" x14ac:dyDescent="0.35">
      <c r="A1212" t="s">
        <v>1531</v>
      </c>
      <c r="B1212" s="1">
        <v>45078</v>
      </c>
      <c r="C1212" s="1">
        <v>45081</v>
      </c>
      <c r="D1212" t="s">
        <v>59</v>
      </c>
      <c r="E1212" t="s">
        <v>316</v>
      </c>
      <c r="F1212" t="s">
        <v>35</v>
      </c>
      <c r="H1212" t="s">
        <v>62</v>
      </c>
      <c r="I1212" t="s">
        <v>22</v>
      </c>
      <c r="J1212" t="s">
        <v>23</v>
      </c>
      <c r="K1212" t="s">
        <v>24</v>
      </c>
      <c r="L1212">
        <v>12</v>
      </c>
      <c r="M1212">
        <v>533.91999999999996</v>
      </c>
      <c r="N1212">
        <v>0</v>
      </c>
      <c r="O1212">
        <v>6407.04</v>
      </c>
      <c r="P1212">
        <v>764.98</v>
      </c>
    </row>
    <row r="1213" spans="1:16" x14ac:dyDescent="0.35">
      <c r="A1213" t="s">
        <v>1532</v>
      </c>
      <c r="B1213" s="1">
        <v>44970</v>
      </c>
      <c r="C1213" s="1">
        <v>44977</v>
      </c>
      <c r="D1213" t="s">
        <v>44</v>
      </c>
      <c r="E1213" t="s">
        <v>476</v>
      </c>
      <c r="F1213" t="s">
        <v>35</v>
      </c>
      <c r="G1213" t="s">
        <v>67</v>
      </c>
      <c r="H1213" t="s">
        <v>21</v>
      </c>
      <c r="I1213" t="s">
        <v>52</v>
      </c>
      <c r="J1213" t="s">
        <v>194</v>
      </c>
      <c r="K1213" t="s">
        <v>306</v>
      </c>
      <c r="L1213">
        <v>7</v>
      </c>
      <c r="M1213">
        <v>869.83</v>
      </c>
      <c r="N1213">
        <v>0.2</v>
      </c>
      <c r="O1213">
        <v>6088.81</v>
      </c>
      <c r="P1213">
        <v>-772.19</v>
      </c>
    </row>
    <row r="1214" spans="1:16" x14ac:dyDescent="0.35">
      <c r="A1214" t="s">
        <v>1533</v>
      </c>
      <c r="B1214" s="1">
        <v>45400</v>
      </c>
      <c r="C1214" s="1">
        <v>45402</v>
      </c>
      <c r="D1214" t="s">
        <v>65</v>
      </c>
      <c r="E1214" t="s">
        <v>492</v>
      </c>
      <c r="F1214" t="s">
        <v>19</v>
      </c>
      <c r="G1214" t="s">
        <v>211</v>
      </c>
      <c r="H1214" t="s">
        <v>29</v>
      </c>
      <c r="I1214" t="s">
        <v>52</v>
      </c>
      <c r="J1214" t="s">
        <v>78</v>
      </c>
      <c r="K1214" t="s">
        <v>79</v>
      </c>
      <c r="L1214">
        <v>7</v>
      </c>
      <c r="M1214">
        <v>243.91</v>
      </c>
      <c r="N1214">
        <v>0</v>
      </c>
      <c r="O1214">
        <v>1707.37</v>
      </c>
      <c r="P1214">
        <v>295.41000000000003</v>
      </c>
    </row>
    <row r="1215" spans="1:16" x14ac:dyDescent="0.35">
      <c r="A1215" t="s">
        <v>1534</v>
      </c>
      <c r="B1215" s="1">
        <v>44992</v>
      </c>
      <c r="C1215" s="1">
        <v>44993</v>
      </c>
      <c r="D1215" t="s">
        <v>59</v>
      </c>
      <c r="E1215" t="s">
        <v>202</v>
      </c>
      <c r="F1215" t="s">
        <v>27</v>
      </c>
      <c r="G1215" t="s">
        <v>90</v>
      </c>
      <c r="H1215" t="s">
        <v>73</v>
      </c>
      <c r="I1215" t="s">
        <v>30</v>
      </c>
      <c r="J1215" t="s">
        <v>41</v>
      </c>
      <c r="K1215" t="s">
        <v>105</v>
      </c>
      <c r="L1215">
        <v>11</v>
      </c>
      <c r="M1215">
        <v>757.41</v>
      </c>
      <c r="N1215">
        <v>0</v>
      </c>
      <c r="O1215">
        <v>8331.51</v>
      </c>
      <c r="P1215">
        <v>88.14</v>
      </c>
    </row>
    <row r="1216" spans="1:16" x14ac:dyDescent="0.35">
      <c r="A1216" t="s">
        <v>1535</v>
      </c>
      <c r="B1216" s="1">
        <v>45419</v>
      </c>
      <c r="C1216" s="1">
        <v>45424</v>
      </c>
      <c r="E1216" t="s">
        <v>156</v>
      </c>
      <c r="F1216" t="s">
        <v>35</v>
      </c>
      <c r="G1216" t="s">
        <v>67</v>
      </c>
      <c r="H1216" t="s">
        <v>36</v>
      </c>
      <c r="I1216" t="s">
        <v>52</v>
      </c>
      <c r="J1216" t="s">
        <v>78</v>
      </c>
      <c r="K1216" t="s">
        <v>79</v>
      </c>
      <c r="L1216">
        <v>3</v>
      </c>
      <c r="M1216">
        <v>456.76</v>
      </c>
      <c r="N1216">
        <v>0.1</v>
      </c>
      <c r="O1216">
        <v>1370.28</v>
      </c>
      <c r="P1216">
        <v>316.31</v>
      </c>
    </row>
    <row r="1217" spans="1:16" x14ac:dyDescent="0.35">
      <c r="A1217" t="s">
        <v>1536</v>
      </c>
      <c r="B1217" s="1">
        <v>45623</v>
      </c>
      <c r="C1217" s="1">
        <v>45627</v>
      </c>
      <c r="D1217" t="s">
        <v>44</v>
      </c>
      <c r="E1217" t="s">
        <v>807</v>
      </c>
      <c r="F1217" t="s">
        <v>35</v>
      </c>
      <c r="G1217" t="s">
        <v>181</v>
      </c>
      <c r="H1217" t="s">
        <v>83</v>
      </c>
      <c r="I1217" t="s">
        <v>52</v>
      </c>
      <c r="J1217" t="s">
        <v>160</v>
      </c>
      <c r="K1217" t="s">
        <v>634</v>
      </c>
      <c r="L1217">
        <v>2</v>
      </c>
      <c r="M1217">
        <v>209.91</v>
      </c>
      <c r="N1217">
        <v>0</v>
      </c>
      <c r="O1217">
        <v>419.82</v>
      </c>
      <c r="P1217">
        <v>90.42</v>
      </c>
    </row>
    <row r="1218" spans="1:16" x14ac:dyDescent="0.35">
      <c r="A1218" t="s">
        <v>1537</v>
      </c>
      <c r="B1218" s="1">
        <v>45064</v>
      </c>
      <c r="C1218" s="1">
        <v>45067</v>
      </c>
      <c r="D1218" t="s">
        <v>44</v>
      </c>
      <c r="E1218" t="s">
        <v>143</v>
      </c>
      <c r="F1218" t="s">
        <v>19</v>
      </c>
      <c r="G1218" t="s">
        <v>288</v>
      </c>
      <c r="H1218" t="s">
        <v>112</v>
      </c>
      <c r="I1218" t="s">
        <v>52</v>
      </c>
      <c r="J1218" t="s">
        <v>53</v>
      </c>
      <c r="K1218" t="s">
        <v>91</v>
      </c>
      <c r="L1218">
        <v>1</v>
      </c>
      <c r="M1218">
        <v>639.69000000000005</v>
      </c>
      <c r="N1218">
        <v>0.3</v>
      </c>
      <c r="O1218">
        <v>639.69000000000005</v>
      </c>
      <c r="P1218">
        <v>-93.68</v>
      </c>
    </row>
    <row r="1219" spans="1:16" x14ac:dyDescent="0.35">
      <c r="A1219" t="s">
        <v>1538</v>
      </c>
      <c r="B1219" s="1">
        <v>44994</v>
      </c>
      <c r="C1219" s="1">
        <v>44996</v>
      </c>
      <c r="D1219" t="s">
        <v>44</v>
      </c>
      <c r="E1219" t="s">
        <v>314</v>
      </c>
      <c r="F1219" t="s">
        <v>35</v>
      </c>
      <c r="G1219" t="s">
        <v>187</v>
      </c>
      <c r="H1219" t="s">
        <v>159</v>
      </c>
      <c r="I1219" t="s">
        <v>30</v>
      </c>
      <c r="J1219" t="s">
        <v>31</v>
      </c>
      <c r="K1219" t="s">
        <v>87</v>
      </c>
      <c r="L1219">
        <v>1</v>
      </c>
      <c r="M1219">
        <v>416.01</v>
      </c>
      <c r="N1219">
        <v>0</v>
      </c>
      <c r="O1219">
        <v>416.01</v>
      </c>
      <c r="P1219">
        <v>-54.52</v>
      </c>
    </row>
    <row r="1220" spans="1:16" x14ac:dyDescent="0.35">
      <c r="A1220" t="s">
        <v>1280</v>
      </c>
      <c r="B1220" s="1">
        <v>45526</v>
      </c>
      <c r="C1220" s="1">
        <v>45530</v>
      </c>
      <c r="D1220" t="s">
        <v>17</v>
      </c>
      <c r="E1220" t="s">
        <v>675</v>
      </c>
      <c r="F1220" t="s">
        <v>27</v>
      </c>
      <c r="G1220" t="s">
        <v>211</v>
      </c>
      <c r="H1220" t="s">
        <v>29</v>
      </c>
      <c r="I1220" t="s">
        <v>52</v>
      </c>
      <c r="J1220" t="s">
        <v>68</v>
      </c>
      <c r="K1220" t="s">
        <v>69</v>
      </c>
      <c r="L1220">
        <v>9</v>
      </c>
      <c r="M1220">
        <v>747.72</v>
      </c>
      <c r="N1220">
        <v>0.3</v>
      </c>
      <c r="O1220">
        <v>6729.48</v>
      </c>
      <c r="P1220">
        <v>-104.47</v>
      </c>
    </row>
    <row r="1221" spans="1:16" x14ac:dyDescent="0.35">
      <c r="A1221" t="s">
        <v>1539</v>
      </c>
      <c r="B1221" s="1">
        <v>45136</v>
      </c>
      <c r="C1221" s="1">
        <v>45141</v>
      </c>
      <c r="D1221" t="s">
        <v>44</v>
      </c>
      <c r="E1221" t="s">
        <v>507</v>
      </c>
      <c r="F1221" t="s">
        <v>35</v>
      </c>
      <c r="G1221" t="s">
        <v>187</v>
      </c>
      <c r="H1221" t="s">
        <v>159</v>
      </c>
      <c r="I1221" t="s">
        <v>30</v>
      </c>
      <c r="J1221" t="s">
        <v>99</v>
      </c>
      <c r="K1221" t="s">
        <v>208</v>
      </c>
      <c r="L1221">
        <v>8</v>
      </c>
      <c r="M1221">
        <v>563.17999999999995</v>
      </c>
      <c r="N1221">
        <v>0</v>
      </c>
      <c r="O1221">
        <v>4505.4399999999996</v>
      </c>
      <c r="P1221">
        <v>-417.41</v>
      </c>
    </row>
    <row r="1222" spans="1:16" x14ac:dyDescent="0.35">
      <c r="A1222" t="s">
        <v>1540</v>
      </c>
      <c r="B1222" s="1">
        <v>45342</v>
      </c>
      <c r="C1222" s="1">
        <v>45345</v>
      </c>
      <c r="D1222" t="s">
        <v>44</v>
      </c>
      <c r="E1222" t="s">
        <v>283</v>
      </c>
      <c r="F1222" t="s">
        <v>19</v>
      </c>
      <c r="G1222" t="s">
        <v>132</v>
      </c>
      <c r="H1222" t="s">
        <v>112</v>
      </c>
      <c r="I1222" t="s">
        <v>22</v>
      </c>
      <c r="J1222" t="s">
        <v>74</v>
      </c>
      <c r="K1222" t="s">
        <v>253</v>
      </c>
      <c r="L1222">
        <v>4</v>
      </c>
      <c r="M1222">
        <v>664.62</v>
      </c>
      <c r="N1222">
        <v>0.15</v>
      </c>
      <c r="O1222">
        <v>2658.48</v>
      </c>
      <c r="P1222">
        <v>863.42</v>
      </c>
    </row>
    <row r="1223" spans="1:16" x14ac:dyDescent="0.35">
      <c r="A1223" t="s">
        <v>1541</v>
      </c>
      <c r="B1223" s="1">
        <v>45539</v>
      </c>
      <c r="C1223" s="1">
        <v>45543</v>
      </c>
      <c r="D1223" t="s">
        <v>59</v>
      </c>
      <c r="E1223" t="s">
        <v>469</v>
      </c>
      <c r="F1223" t="s">
        <v>35</v>
      </c>
      <c r="H1223" t="s">
        <v>129</v>
      </c>
      <c r="I1223" t="s">
        <v>30</v>
      </c>
      <c r="J1223" t="s">
        <v>31</v>
      </c>
      <c r="K1223" t="s">
        <v>57</v>
      </c>
      <c r="L1223">
        <v>6</v>
      </c>
      <c r="M1223">
        <v>213.15</v>
      </c>
      <c r="N1223">
        <v>0.3</v>
      </c>
      <c r="O1223">
        <v>1278.9000000000001</v>
      </c>
      <c r="P1223">
        <v>368.3</v>
      </c>
    </row>
    <row r="1224" spans="1:16" x14ac:dyDescent="0.35">
      <c r="A1224" t="s">
        <v>1542</v>
      </c>
      <c r="B1224" s="1">
        <v>45310</v>
      </c>
      <c r="C1224" s="1">
        <v>45314</v>
      </c>
      <c r="D1224" t="s">
        <v>65</v>
      </c>
      <c r="E1224" t="s">
        <v>873</v>
      </c>
      <c r="F1224" t="s">
        <v>27</v>
      </c>
      <c r="G1224" t="s">
        <v>288</v>
      </c>
      <c r="H1224" t="s">
        <v>129</v>
      </c>
      <c r="I1224" t="s">
        <v>30</v>
      </c>
      <c r="J1224" t="s">
        <v>31</v>
      </c>
      <c r="K1224" t="s">
        <v>32</v>
      </c>
      <c r="L1224">
        <v>2</v>
      </c>
      <c r="M1224">
        <v>108.88</v>
      </c>
      <c r="N1224">
        <v>0.2</v>
      </c>
      <c r="O1224">
        <v>217.76</v>
      </c>
      <c r="P1224">
        <v>-17.239999999999998</v>
      </c>
    </row>
    <row r="1225" spans="1:16" x14ac:dyDescent="0.35">
      <c r="A1225" t="s">
        <v>1543</v>
      </c>
      <c r="B1225" s="1">
        <v>45323</v>
      </c>
      <c r="C1225" s="1">
        <v>45328</v>
      </c>
      <c r="D1225" t="s">
        <v>65</v>
      </c>
      <c r="E1225" t="s">
        <v>89</v>
      </c>
      <c r="F1225" t="s">
        <v>35</v>
      </c>
      <c r="G1225" t="s">
        <v>28</v>
      </c>
      <c r="H1225" t="s">
        <v>159</v>
      </c>
      <c r="I1225" t="s">
        <v>22</v>
      </c>
      <c r="J1225" t="s">
        <v>23</v>
      </c>
      <c r="K1225" t="s">
        <v>289</v>
      </c>
      <c r="L1225">
        <v>1</v>
      </c>
      <c r="M1225">
        <v>851.08</v>
      </c>
      <c r="N1225">
        <v>0.1</v>
      </c>
      <c r="O1225">
        <v>851.08</v>
      </c>
      <c r="P1225">
        <v>96.94</v>
      </c>
    </row>
    <row r="1226" spans="1:16" x14ac:dyDescent="0.35">
      <c r="A1226" t="s">
        <v>1544</v>
      </c>
      <c r="B1226" s="1">
        <v>45304</v>
      </c>
      <c r="C1226" s="1">
        <v>45310</v>
      </c>
      <c r="D1226" t="s">
        <v>44</v>
      </c>
      <c r="E1226" t="s">
        <v>342</v>
      </c>
      <c r="F1226" t="s">
        <v>27</v>
      </c>
      <c r="G1226" t="s">
        <v>211</v>
      </c>
      <c r="H1226" t="s">
        <v>159</v>
      </c>
      <c r="I1226" t="s">
        <v>30</v>
      </c>
      <c r="J1226" t="s">
        <v>41</v>
      </c>
      <c r="K1226" t="s">
        <v>124</v>
      </c>
      <c r="L1226">
        <v>9</v>
      </c>
      <c r="M1226">
        <v>732.91</v>
      </c>
      <c r="N1226">
        <v>0.15</v>
      </c>
      <c r="O1226">
        <v>6596.19</v>
      </c>
      <c r="P1226">
        <v>674.49</v>
      </c>
    </row>
    <row r="1227" spans="1:16" x14ac:dyDescent="0.35">
      <c r="A1227" t="s">
        <v>1545</v>
      </c>
      <c r="B1227" s="1">
        <v>44931</v>
      </c>
      <c r="C1227" s="1">
        <v>44934</v>
      </c>
      <c r="D1227" t="s">
        <v>59</v>
      </c>
      <c r="E1227" t="s">
        <v>257</v>
      </c>
      <c r="F1227" t="s">
        <v>19</v>
      </c>
      <c r="G1227" t="s">
        <v>72</v>
      </c>
      <c r="H1227" t="s">
        <v>73</v>
      </c>
      <c r="I1227" t="s">
        <v>22</v>
      </c>
      <c r="J1227" t="s">
        <v>115</v>
      </c>
      <c r="K1227" t="s">
        <v>133</v>
      </c>
      <c r="L1227">
        <v>12</v>
      </c>
      <c r="M1227">
        <v>753.64</v>
      </c>
      <c r="N1227">
        <v>0</v>
      </c>
      <c r="O1227">
        <v>9043.68</v>
      </c>
    </row>
    <row r="1228" spans="1:16" x14ac:dyDescent="0.35">
      <c r="A1228" t="s">
        <v>1546</v>
      </c>
      <c r="B1228" s="1">
        <v>44955</v>
      </c>
      <c r="C1228" s="1">
        <v>44959</v>
      </c>
      <c r="D1228" t="s">
        <v>44</v>
      </c>
      <c r="E1228" t="s">
        <v>287</v>
      </c>
      <c r="F1228" t="s">
        <v>27</v>
      </c>
      <c r="G1228" t="s">
        <v>107</v>
      </c>
      <c r="H1228" t="s">
        <v>83</v>
      </c>
      <c r="I1228" t="s">
        <v>30</v>
      </c>
      <c r="J1228" t="s">
        <v>99</v>
      </c>
      <c r="K1228" t="s">
        <v>247</v>
      </c>
      <c r="L1228">
        <v>11</v>
      </c>
      <c r="M1228">
        <v>371.51</v>
      </c>
      <c r="N1228">
        <v>0</v>
      </c>
      <c r="O1228">
        <v>4086.61</v>
      </c>
      <c r="P1228">
        <v>1153.71</v>
      </c>
    </row>
    <row r="1229" spans="1:16" x14ac:dyDescent="0.35">
      <c r="A1229" t="s">
        <v>1547</v>
      </c>
      <c r="B1229" s="1">
        <v>45529</v>
      </c>
      <c r="C1229" s="1">
        <v>45536</v>
      </c>
      <c r="D1229" t="s">
        <v>59</v>
      </c>
      <c r="E1229" t="s">
        <v>126</v>
      </c>
      <c r="F1229" t="s">
        <v>27</v>
      </c>
      <c r="G1229" t="s">
        <v>288</v>
      </c>
      <c r="H1229" t="s">
        <v>129</v>
      </c>
      <c r="I1229" t="s">
        <v>52</v>
      </c>
      <c r="J1229" t="s">
        <v>78</v>
      </c>
      <c r="K1229" t="s">
        <v>96</v>
      </c>
      <c r="L1229">
        <v>5</v>
      </c>
      <c r="M1229">
        <v>415.72</v>
      </c>
      <c r="N1229">
        <v>0</v>
      </c>
      <c r="O1229">
        <v>2078.6</v>
      </c>
      <c r="P1229">
        <v>-37.130000000000003</v>
      </c>
    </row>
    <row r="1230" spans="1:16" x14ac:dyDescent="0.35">
      <c r="A1230" t="s">
        <v>1548</v>
      </c>
      <c r="B1230" s="1">
        <v>45333</v>
      </c>
      <c r="C1230" s="1">
        <v>45334</v>
      </c>
      <c r="D1230" t="s">
        <v>44</v>
      </c>
      <c r="E1230" t="s">
        <v>229</v>
      </c>
      <c r="F1230" t="s">
        <v>27</v>
      </c>
      <c r="G1230" t="s">
        <v>111</v>
      </c>
      <c r="H1230" t="s">
        <v>112</v>
      </c>
      <c r="I1230" t="s">
        <v>52</v>
      </c>
      <c r="J1230" t="s">
        <v>53</v>
      </c>
      <c r="K1230" t="s">
        <v>91</v>
      </c>
      <c r="L1230">
        <v>12</v>
      </c>
      <c r="M1230">
        <v>716.19</v>
      </c>
      <c r="N1230">
        <v>0.2</v>
      </c>
      <c r="O1230">
        <v>8594.2800000000007</v>
      </c>
      <c r="P1230">
        <v>2096.98</v>
      </c>
    </row>
    <row r="1231" spans="1:16" x14ac:dyDescent="0.35">
      <c r="A1231" t="s">
        <v>1549</v>
      </c>
      <c r="B1231" s="1">
        <v>45019</v>
      </c>
      <c r="C1231" s="1">
        <v>45025</v>
      </c>
      <c r="D1231" t="s">
        <v>65</v>
      </c>
      <c r="E1231" t="s">
        <v>287</v>
      </c>
      <c r="F1231" t="s">
        <v>35</v>
      </c>
      <c r="G1231" t="s">
        <v>128</v>
      </c>
      <c r="H1231" t="s">
        <v>129</v>
      </c>
      <c r="I1231" t="s">
        <v>22</v>
      </c>
      <c r="J1231" t="s">
        <v>23</v>
      </c>
      <c r="K1231" t="s">
        <v>24</v>
      </c>
      <c r="L1231">
        <v>12</v>
      </c>
      <c r="M1231">
        <v>439.47</v>
      </c>
      <c r="N1231">
        <v>0</v>
      </c>
      <c r="O1231">
        <v>5273.64</v>
      </c>
      <c r="P1231">
        <v>1333.96</v>
      </c>
    </row>
    <row r="1232" spans="1:16" x14ac:dyDescent="0.35">
      <c r="A1232" t="s">
        <v>1550</v>
      </c>
      <c r="B1232" s="1">
        <v>45043</v>
      </c>
      <c r="C1232" s="1">
        <v>45049</v>
      </c>
      <c r="D1232" t="s">
        <v>44</v>
      </c>
      <c r="E1232" t="s">
        <v>26</v>
      </c>
      <c r="F1232" t="s">
        <v>19</v>
      </c>
      <c r="G1232" t="s">
        <v>51</v>
      </c>
      <c r="H1232" t="s">
        <v>36</v>
      </c>
      <c r="I1232" t="s">
        <v>22</v>
      </c>
      <c r="J1232" t="s">
        <v>74</v>
      </c>
      <c r="K1232" t="s">
        <v>165</v>
      </c>
      <c r="L1232">
        <v>6</v>
      </c>
      <c r="M1232">
        <v>830.44</v>
      </c>
      <c r="N1232">
        <v>0.1</v>
      </c>
      <c r="O1232">
        <v>4982.6400000000003</v>
      </c>
      <c r="P1232">
        <v>1535.06</v>
      </c>
    </row>
    <row r="1233" spans="1:16" x14ac:dyDescent="0.35">
      <c r="A1233" t="s">
        <v>1551</v>
      </c>
      <c r="B1233" s="1">
        <v>45420</v>
      </c>
      <c r="C1233" s="1">
        <v>45424</v>
      </c>
      <c r="D1233" t="s">
        <v>44</v>
      </c>
      <c r="E1233" t="s">
        <v>326</v>
      </c>
      <c r="F1233" t="s">
        <v>27</v>
      </c>
      <c r="G1233" t="s">
        <v>111</v>
      </c>
      <c r="H1233" t="s">
        <v>129</v>
      </c>
      <c r="I1233" t="s">
        <v>22</v>
      </c>
      <c r="J1233" t="s">
        <v>23</v>
      </c>
      <c r="K1233" t="s">
        <v>24</v>
      </c>
      <c r="L1233">
        <v>3</v>
      </c>
      <c r="M1233">
        <v>354.76</v>
      </c>
      <c r="N1233">
        <v>0</v>
      </c>
      <c r="O1233">
        <v>1064.28</v>
      </c>
      <c r="P1233">
        <v>-124.49</v>
      </c>
    </row>
    <row r="1234" spans="1:16" x14ac:dyDescent="0.35">
      <c r="A1234" t="s">
        <v>1552</v>
      </c>
      <c r="B1234" s="1">
        <v>45511</v>
      </c>
      <c r="C1234" s="1">
        <v>45513</v>
      </c>
      <c r="D1234" t="s">
        <v>65</v>
      </c>
      <c r="E1234" t="s">
        <v>424</v>
      </c>
      <c r="F1234" t="s">
        <v>19</v>
      </c>
      <c r="G1234" t="s">
        <v>67</v>
      </c>
      <c r="H1234" t="s">
        <v>36</v>
      </c>
      <c r="I1234" t="s">
        <v>52</v>
      </c>
      <c r="J1234" t="s">
        <v>53</v>
      </c>
      <c r="K1234" t="s">
        <v>54</v>
      </c>
      <c r="L1234">
        <v>9</v>
      </c>
      <c r="M1234">
        <v>696.45</v>
      </c>
      <c r="N1234">
        <v>0</v>
      </c>
      <c r="O1234">
        <v>6268.05</v>
      </c>
      <c r="P1234">
        <v>-203.02</v>
      </c>
    </row>
    <row r="1235" spans="1:16" x14ac:dyDescent="0.35">
      <c r="A1235" t="s">
        <v>1553</v>
      </c>
      <c r="B1235" s="1">
        <v>45655</v>
      </c>
      <c r="C1235" s="1">
        <v>45661</v>
      </c>
      <c r="D1235" t="s">
        <v>65</v>
      </c>
      <c r="E1235" t="s">
        <v>237</v>
      </c>
      <c r="F1235" t="s">
        <v>27</v>
      </c>
      <c r="G1235" t="s">
        <v>51</v>
      </c>
      <c r="H1235" t="s">
        <v>36</v>
      </c>
      <c r="I1235" t="s">
        <v>22</v>
      </c>
      <c r="J1235" t="s">
        <v>23</v>
      </c>
      <c r="K1235" t="s">
        <v>178</v>
      </c>
      <c r="L1235">
        <v>4</v>
      </c>
      <c r="M1235">
        <v>417.42</v>
      </c>
      <c r="N1235">
        <v>0</v>
      </c>
      <c r="O1235">
        <v>1669.68</v>
      </c>
      <c r="P1235">
        <v>-84.33</v>
      </c>
    </row>
    <row r="1236" spans="1:16" x14ac:dyDescent="0.35">
      <c r="A1236" t="s">
        <v>1554</v>
      </c>
      <c r="B1236" s="1">
        <v>45098</v>
      </c>
      <c r="C1236" s="1">
        <v>45099</v>
      </c>
      <c r="D1236" t="s">
        <v>17</v>
      </c>
      <c r="E1236" t="s">
        <v>71</v>
      </c>
      <c r="F1236" t="s">
        <v>27</v>
      </c>
      <c r="G1236" t="s">
        <v>90</v>
      </c>
      <c r="H1236" t="s">
        <v>62</v>
      </c>
      <c r="I1236" t="s">
        <v>52</v>
      </c>
      <c r="J1236" t="s">
        <v>53</v>
      </c>
      <c r="K1236" t="s">
        <v>91</v>
      </c>
      <c r="L1236">
        <v>2</v>
      </c>
      <c r="M1236">
        <v>166.01</v>
      </c>
      <c r="N1236">
        <v>0</v>
      </c>
      <c r="O1236">
        <v>332.02</v>
      </c>
      <c r="P1236">
        <v>21.48</v>
      </c>
    </row>
    <row r="1237" spans="1:16" x14ac:dyDescent="0.35">
      <c r="A1237" t="s">
        <v>1555</v>
      </c>
      <c r="B1237" s="1">
        <v>44950</v>
      </c>
      <c r="C1237" s="1">
        <v>44953</v>
      </c>
      <c r="D1237" t="s">
        <v>17</v>
      </c>
      <c r="E1237" t="s">
        <v>556</v>
      </c>
      <c r="F1237" t="s">
        <v>35</v>
      </c>
      <c r="G1237" t="s">
        <v>288</v>
      </c>
      <c r="H1237" t="s">
        <v>129</v>
      </c>
      <c r="I1237" t="s">
        <v>30</v>
      </c>
      <c r="J1237" t="s">
        <v>47</v>
      </c>
      <c r="K1237" t="s">
        <v>63</v>
      </c>
      <c r="L1237">
        <v>2</v>
      </c>
      <c r="M1237">
        <v>881.91</v>
      </c>
      <c r="N1237">
        <v>0.15</v>
      </c>
      <c r="O1237">
        <v>1763.82</v>
      </c>
      <c r="P1237">
        <v>-116.27</v>
      </c>
    </row>
    <row r="1238" spans="1:16" x14ac:dyDescent="0.35">
      <c r="A1238" t="s">
        <v>1556</v>
      </c>
      <c r="B1238" s="1">
        <v>45078</v>
      </c>
      <c r="C1238" s="1">
        <v>45085</v>
      </c>
      <c r="D1238" t="s">
        <v>17</v>
      </c>
      <c r="E1238" t="s">
        <v>239</v>
      </c>
      <c r="F1238" t="s">
        <v>19</v>
      </c>
      <c r="G1238" t="s">
        <v>20</v>
      </c>
      <c r="H1238" t="s">
        <v>36</v>
      </c>
      <c r="I1238" t="s">
        <v>22</v>
      </c>
      <c r="J1238" t="s">
        <v>74</v>
      </c>
      <c r="K1238" t="s">
        <v>75</v>
      </c>
      <c r="L1238">
        <v>1</v>
      </c>
      <c r="M1238">
        <v>302.02999999999997</v>
      </c>
      <c r="N1238">
        <v>0.2</v>
      </c>
      <c r="O1238">
        <v>302.02999999999997</v>
      </c>
      <c r="P1238">
        <v>35.94</v>
      </c>
    </row>
    <row r="1239" spans="1:16" x14ac:dyDescent="0.35">
      <c r="A1239" t="s">
        <v>1557</v>
      </c>
      <c r="B1239" s="1">
        <v>44980</v>
      </c>
      <c r="C1239" s="1">
        <v>44987</v>
      </c>
      <c r="D1239" t="s">
        <v>44</v>
      </c>
      <c r="E1239" t="s">
        <v>523</v>
      </c>
      <c r="F1239" t="s">
        <v>35</v>
      </c>
      <c r="G1239" t="s">
        <v>28</v>
      </c>
      <c r="H1239" t="s">
        <v>159</v>
      </c>
      <c r="I1239" t="s">
        <v>22</v>
      </c>
      <c r="J1239" t="s">
        <v>37</v>
      </c>
      <c r="K1239" t="s">
        <v>144</v>
      </c>
      <c r="L1239">
        <v>5</v>
      </c>
      <c r="M1239">
        <v>528.29999999999995</v>
      </c>
      <c r="N1239">
        <v>0.1</v>
      </c>
      <c r="O1239">
        <v>2641.5</v>
      </c>
      <c r="P1239">
        <v>646.04</v>
      </c>
    </row>
    <row r="1240" spans="1:16" x14ac:dyDescent="0.35">
      <c r="A1240" t="s">
        <v>1558</v>
      </c>
      <c r="B1240" s="1">
        <v>44974</v>
      </c>
      <c r="C1240" s="1">
        <v>44981</v>
      </c>
      <c r="D1240" t="s">
        <v>44</v>
      </c>
      <c r="E1240" t="s">
        <v>316</v>
      </c>
      <c r="F1240" t="s">
        <v>19</v>
      </c>
      <c r="G1240" t="s">
        <v>90</v>
      </c>
      <c r="H1240" t="s">
        <v>73</v>
      </c>
      <c r="I1240" t="s">
        <v>22</v>
      </c>
      <c r="J1240" t="s">
        <v>74</v>
      </c>
      <c r="K1240" t="s">
        <v>253</v>
      </c>
      <c r="L1240">
        <v>8</v>
      </c>
      <c r="M1240">
        <v>866.57</v>
      </c>
      <c r="N1240">
        <v>0.3</v>
      </c>
      <c r="O1240">
        <v>6932.56</v>
      </c>
      <c r="P1240">
        <v>-655.37</v>
      </c>
    </row>
    <row r="1241" spans="1:16" x14ac:dyDescent="0.35">
      <c r="A1241" t="s">
        <v>516</v>
      </c>
      <c r="B1241" s="1">
        <v>45241</v>
      </c>
      <c r="C1241" s="1">
        <v>45242</v>
      </c>
      <c r="D1241" t="s">
        <v>59</v>
      </c>
      <c r="E1241" t="s">
        <v>149</v>
      </c>
      <c r="F1241" t="s">
        <v>35</v>
      </c>
      <c r="G1241" t="s">
        <v>211</v>
      </c>
      <c r="H1241" t="s">
        <v>159</v>
      </c>
      <c r="I1241" t="s">
        <v>52</v>
      </c>
      <c r="J1241" t="s">
        <v>160</v>
      </c>
      <c r="K1241" t="s">
        <v>161</v>
      </c>
      <c r="L1241">
        <v>11</v>
      </c>
      <c r="M1241">
        <v>502.04</v>
      </c>
      <c r="N1241">
        <v>0.3</v>
      </c>
      <c r="O1241">
        <v>5522.44</v>
      </c>
      <c r="P1241">
        <v>205.04</v>
      </c>
    </row>
    <row r="1242" spans="1:16" x14ac:dyDescent="0.35">
      <c r="A1242" t="s">
        <v>1559</v>
      </c>
      <c r="B1242" s="1">
        <v>45414</v>
      </c>
      <c r="C1242" s="1">
        <v>45418</v>
      </c>
      <c r="D1242" t="s">
        <v>44</v>
      </c>
      <c r="E1242" t="s">
        <v>167</v>
      </c>
      <c r="F1242" t="s">
        <v>27</v>
      </c>
      <c r="G1242" t="s">
        <v>132</v>
      </c>
      <c r="H1242" t="s">
        <v>112</v>
      </c>
      <c r="I1242" t="s">
        <v>22</v>
      </c>
      <c r="J1242" t="s">
        <v>74</v>
      </c>
      <c r="K1242" t="s">
        <v>75</v>
      </c>
      <c r="L1242">
        <v>5</v>
      </c>
      <c r="M1242">
        <v>119.74</v>
      </c>
      <c r="N1242">
        <v>0.2</v>
      </c>
      <c r="O1242">
        <v>598.70000000000005</v>
      </c>
      <c r="P1242">
        <v>71.84</v>
      </c>
    </row>
    <row r="1243" spans="1:16" x14ac:dyDescent="0.35">
      <c r="A1243" t="s">
        <v>1560</v>
      </c>
      <c r="B1243" s="1">
        <v>45450</v>
      </c>
      <c r="C1243" s="1">
        <v>45453</v>
      </c>
      <c r="D1243" t="s">
        <v>44</v>
      </c>
      <c r="E1243" t="s">
        <v>556</v>
      </c>
      <c r="F1243" t="s">
        <v>35</v>
      </c>
      <c r="G1243" t="s">
        <v>332</v>
      </c>
      <c r="H1243" t="s">
        <v>83</v>
      </c>
      <c r="I1243" t="s">
        <v>30</v>
      </c>
      <c r="J1243" t="s">
        <v>47</v>
      </c>
      <c r="K1243" t="s">
        <v>94</v>
      </c>
      <c r="L1243">
        <v>10</v>
      </c>
      <c r="M1243">
        <v>608.34</v>
      </c>
      <c r="N1243">
        <v>0</v>
      </c>
      <c r="O1243">
        <v>6083.4</v>
      </c>
      <c r="P1243">
        <v>-217.77</v>
      </c>
    </row>
    <row r="1244" spans="1:16" x14ac:dyDescent="0.35">
      <c r="A1244" t="s">
        <v>1561</v>
      </c>
      <c r="B1244" s="1">
        <v>45251</v>
      </c>
      <c r="C1244" s="1">
        <v>45258</v>
      </c>
      <c r="D1244" t="s">
        <v>17</v>
      </c>
      <c r="E1244" t="s">
        <v>1367</v>
      </c>
      <c r="F1244" t="s">
        <v>19</v>
      </c>
      <c r="G1244" t="s">
        <v>111</v>
      </c>
      <c r="H1244" t="s">
        <v>129</v>
      </c>
      <c r="I1244" t="s">
        <v>30</v>
      </c>
      <c r="J1244" t="s">
        <v>31</v>
      </c>
      <c r="K1244" t="s">
        <v>57</v>
      </c>
      <c r="L1244">
        <v>12</v>
      </c>
      <c r="M1244">
        <v>383.02</v>
      </c>
      <c r="N1244">
        <v>0.3</v>
      </c>
      <c r="O1244">
        <v>4596.24</v>
      </c>
      <c r="P1244">
        <v>-458.71</v>
      </c>
    </row>
    <row r="1245" spans="1:16" x14ac:dyDescent="0.35">
      <c r="A1245" t="s">
        <v>1562</v>
      </c>
      <c r="B1245" s="1">
        <v>45028</v>
      </c>
      <c r="C1245" s="1">
        <v>45030</v>
      </c>
      <c r="D1245" t="s">
        <v>17</v>
      </c>
      <c r="E1245" t="s">
        <v>486</v>
      </c>
      <c r="F1245" t="s">
        <v>35</v>
      </c>
      <c r="G1245" t="s">
        <v>51</v>
      </c>
      <c r="H1245" t="s">
        <v>21</v>
      </c>
      <c r="I1245" t="s">
        <v>30</v>
      </c>
      <c r="J1245" t="s">
        <v>99</v>
      </c>
      <c r="K1245" t="s">
        <v>154</v>
      </c>
      <c r="L1245">
        <v>4</v>
      </c>
      <c r="M1245">
        <v>752.16</v>
      </c>
      <c r="N1245">
        <v>0.1</v>
      </c>
      <c r="O1245">
        <v>3008.64</v>
      </c>
      <c r="P1245">
        <v>62.16</v>
      </c>
    </row>
    <row r="1246" spans="1:16" x14ac:dyDescent="0.35">
      <c r="A1246" t="s">
        <v>1366</v>
      </c>
      <c r="B1246" s="1">
        <v>45588</v>
      </c>
      <c r="C1246" s="1">
        <v>45592</v>
      </c>
      <c r="D1246" t="s">
        <v>17</v>
      </c>
      <c r="E1246" t="s">
        <v>1367</v>
      </c>
      <c r="F1246" t="s">
        <v>27</v>
      </c>
      <c r="G1246" t="s">
        <v>45</v>
      </c>
      <c r="H1246" t="s">
        <v>123</v>
      </c>
      <c r="I1246" t="s">
        <v>30</v>
      </c>
      <c r="J1246" t="s">
        <v>99</v>
      </c>
      <c r="K1246" t="s">
        <v>154</v>
      </c>
      <c r="L1246">
        <v>8</v>
      </c>
      <c r="M1246">
        <v>27.3</v>
      </c>
      <c r="N1246">
        <v>0.1</v>
      </c>
      <c r="O1246">
        <v>218.4</v>
      </c>
      <c r="P1246">
        <v>31.7</v>
      </c>
    </row>
    <row r="1247" spans="1:16" x14ac:dyDescent="0.35">
      <c r="A1247" t="s">
        <v>1563</v>
      </c>
      <c r="B1247" s="1">
        <v>45022</v>
      </c>
      <c r="C1247" s="1">
        <v>45027</v>
      </c>
      <c r="D1247" t="s">
        <v>17</v>
      </c>
      <c r="E1247" t="s">
        <v>200</v>
      </c>
      <c r="F1247" t="s">
        <v>19</v>
      </c>
      <c r="G1247" t="s">
        <v>90</v>
      </c>
      <c r="H1247" t="s">
        <v>62</v>
      </c>
      <c r="I1247" t="s">
        <v>30</v>
      </c>
      <c r="J1247" t="s">
        <v>47</v>
      </c>
      <c r="K1247" t="s">
        <v>63</v>
      </c>
      <c r="L1247">
        <v>12</v>
      </c>
      <c r="M1247">
        <v>811.52</v>
      </c>
      <c r="N1247">
        <v>0</v>
      </c>
      <c r="O1247">
        <v>9738.24</v>
      </c>
      <c r="P1247">
        <v>1324.21</v>
      </c>
    </row>
  </sheetData>
  <conditionalFormatting sqref="A1:A1048576">
    <cfRule type="duplicateValues" dxfId="16" priority="16"/>
  </conditionalFormatting>
  <conditionalFormatting sqref="E1:E1048576">
    <cfRule type="containsBlanks" dxfId="15" priority="15">
      <formula>LEN(TRIM(E1))=0</formula>
    </cfRule>
  </conditionalFormatting>
  <conditionalFormatting sqref="D1:D1048576">
    <cfRule type="containsBlanks" dxfId="14" priority="14">
      <formula>LEN(TRIM(D1))=0</formula>
    </cfRule>
  </conditionalFormatting>
  <conditionalFormatting sqref="C1:C1048576">
    <cfRule type="containsBlanks" dxfId="13" priority="13">
      <formula>LEN(TRIM(C1))=0</formula>
    </cfRule>
  </conditionalFormatting>
  <conditionalFormatting sqref="B1:B1048576">
    <cfRule type="containsBlanks" dxfId="12" priority="12">
      <formula>LEN(TRIM(B1))=0</formula>
    </cfRule>
  </conditionalFormatting>
  <conditionalFormatting sqref="F1:F1048576">
    <cfRule type="containsBlanks" dxfId="11" priority="11">
      <formula>LEN(TRIM(F1))=0</formula>
    </cfRule>
  </conditionalFormatting>
  <conditionalFormatting sqref="G1:G1048576">
    <cfRule type="containsBlanks" dxfId="10" priority="10">
      <formula>LEN(TRIM(G1))=0</formula>
    </cfRule>
  </conditionalFormatting>
  <conditionalFormatting sqref="H1:H1048576">
    <cfRule type="containsBlanks" dxfId="9" priority="9">
      <formula>LEN(TRIM(H1))=0</formula>
    </cfRule>
  </conditionalFormatting>
  <conditionalFormatting sqref="I1:I1048576">
    <cfRule type="containsBlanks" dxfId="8" priority="8">
      <formula>LEN(TRIM(I1))=0</formula>
    </cfRule>
  </conditionalFormatting>
  <conditionalFormatting sqref="J1:J1048576">
    <cfRule type="containsBlanks" dxfId="7" priority="7">
      <formula>LEN(TRIM(J1))=0</formula>
    </cfRule>
  </conditionalFormatting>
  <conditionalFormatting sqref="K1:K1048576">
    <cfRule type="containsBlanks" dxfId="6" priority="6">
      <formula>LEN(TRIM(K1))=0</formula>
    </cfRule>
  </conditionalFormatting>
  <conditionalFormatting sqref="L1:L1048576">
    <cfRule type="containsBlanks" dxfId="5" priority="5">
      <formula>LEN(TRIM(L1))=0</formula>
    </cfRule>
  </conditionalFormatting>
  <conditionalFormatting sqref="M1:M1048576">
    <cfRule type="containsBlanks" dxfId="4" priority="4">
      <formula>LEN(TRIM(M1))=0</formula>
    </cfRule>
  </conditionalFormatting>
  <conditionalFormatting sqref="N1:N1048576">
    <cfRule type="containsBlanks" dxfId="3" priority="3">
      <formula>LEN(TRIM(N1))=0</formula>
    </cfRule>
  </conditionalFormatting>
  <conditionalFormatting sqref="O1:O1048576">
    <cfRule type="containsBlanks" dxfId="2" priority="2">
      <formula>LEN(TRIM(O1))=0</formula>
    </cfRule>
  </conditionalFormatting>
  <conditionalFormatting sqref="P1:P1048576">
    <cfRule type="containsBlanks" dxfId="1" priority="1">
      <formula>LEN(TRIM(P1))=0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5185-083B-43E3-BAAC-A6A004C0D6A1}">
  <dimension ref="A2:F1251"/>
  <sheetViews>
    <sheetView workbookViewId="0">
      <selection activeCell="K3" sqref="K3"/>
    </sheetView>
  </sheetViews>
  <sheetFormatPr defaultRowHeight="14.5" x14ac:dyDescent="0.35"/>
  <cols>
    <col min="1" max="1" width="10.1796875" bestFit="1" customWidth="1"/>
    <col min="2" max="2" width="16" bestFit="1" customWidth="1"/>
    <col min="3" max="3" width="16.7265625" bestFit="1" customWidth="1"/>
    <col min="5" max="5" width="19.54296875" customWidth="1"/>
    <col min="6" max="6" width="20.81640625" customWidth="1"/>
  </cols>
  <sheetData>
    <row r="2" spans="1:6" ht="20" x14ac:dyDescent="0.4">
      <c r="A2" s="23" t="s">
        <v>1569</v>
      </c>
      <c r="B2" s="23"/>
      <c r="C2" s="23"/>
      <c r="D2" s="23"/>
      <c r="E2" s="23"/>
      <c r="F2" s="23"/>
    </row>
    <row r="3" spans="1:6" x14ac:dyDescent="0.35">
      <c r="A3" s="24" t="s">
        <v>1570</v>
      </c>
      <c r="B3" s="24"/>
      <c r="C3" s="24"/>
      <c r="D3" s="24"/>
      <c r="E3" s="24"/>
      <c r="F3" s="24"/>
    </row>
    <row r="4" spans="1:6" ht="15" thickBot="1" x14ac:dyDescent="0.4"/>
    <row r="5" spans="1:6" ht="42" x14ac:dyDescent="0.35">
      <c r="A5" s="22" t="s">
        <v>0</v>
      </c>
      <c r="B5" s="14" t="s">
        <v>1564</v>
      </c>
      <c r="C5" s="16" t="s">
        <v>1565</v>
      </c>
      <c r="D5" s="18" t="s">
        <v>1566</v>
      </c>
      <c r="E5" s="19" t="s">
        <v>1567</v>
      </c>
      <c r="F5" s="20" t="s">
        <v>1568</v>
      </c>
    </row>
    <row r="6" spans="1:6" x14ac:dyDescent="0.35">
      <c r="A6" s="4" t="s">
        <v>16</v>
      </c>
      <c r="B6" s="13" t="s">
        <v>18</v>
      </c>
      <c r="C6" s="15" t="str">
        <f>IF(OR(B6="",B6=0), "Unknown Customer", PROPER(TRIM(B6)))</f>
        <v>Imran Khan</v>
      </c>
      <c r="D6" s="17">
        <v>0</v>
      </c>
      <c r="E6" s="15">
        <f>IFERROR(IF(Raw_Data!N2="", 0, IF(Raw_Data!N2&gt;1, Raw_Data!N2/100, Raw_Data!N2)), 0)</f>
        <v>0</v>
      </c>
      <c r="F6" s="15">
        <f>IFERROR(VALUE(Raw_Data!O2), Raw_Data!L2*Raw_Data!M2)</f>
        <v>1925.79</v>
      </c>
    </row>
    <row r="7" spans="1:6" x14ac:dyDescent="0.35">
      <c r="A7" s="4" t="s">
        <v>25</v>
      </c>
      <c r="B7" s="13" t="s">
        <v>26</v>
      </c>
      <c r="C7" s="15" t="str">
        <f t="shared" ref="C7:C70" si="0">IF(OR(B7="",B7=0), "Unknown Customer", PROPER(TRIM(B7)))</f>
        <v>Fatima Raza</v>
      </c>
      <c r="D7" s="17">
        <v>0</v>
      </c>
      <c r="E7" s="15">
        <f>IFERROR(IF(Raw_Data!N3="", 0, IF(Raw_Data!N3&gt;1, Raw_Data!N3/100, Raw_Data!N3)), 0)</f>
        <v>0</v>
      </c>
      <c r="F7" s="15">
        <f>IFERROR(VALUE(Raw_Data!O3), Raw_Data!L3*Raw_Data!M3)</f>
        <v>2205.42</v>
      </c>
    </row>
    <row r="8" spans="1:6" x14ac:dyDescent="0.35">
      <c r="A8" s="4" t="s">
        <v>33</v>
      </c>
      <c r="B8" s="13" t="s">
        <v>34</v>
      </c>
      <c r="C8" s="15" t="str">
        <f t="shared" si="0"/>
        <v>Zara Iqbal</v>
      </c>
      <c r="D8" s="17">
        <v>0</v>
      </c>
      <c r="E8" s="15">
        <f>IFERROR(IF(Raw_Data!N4="", 0, IF(Raw_Data!N4&gt;1, Raw_Data!N4/100, Raw_Data!N4)), 0)</f>
        <v>0</v>
      </c>
      <c r="F8" s="15">
        <f>IFERROR(VALUE(Raw_Data!O4), Raw_Data!L4*Raw_Data!M4)</f>
        <v>1395.5</v>
      </c>
    </row>
    <row r="9" spans="1:6" x14ac:dyDescent="0.35">
      <c r="A9" s="4" t="s">
        <v>39</v>
      </c>
      <c r="B9" s="13" t="s">
        <v>40</v>
      </c>
      <c r="C9" s="15" t="str">
        <f t="shared" si="0"/>
        <v>Hina Sheikh</v>
      </c>
      <c r="D9" s="17">
        <v>0.15</v>
      </c>
      <c r="E9" s="15">
        <f>IFERROR(IF(Raw_Data!N5="", 0, IF(Raw_Data!N5&gt;1, Raw_Data!N5/100, Raw_Data!N5)), 0)</f>
        <v>0.15</v>
      </c>
      <c r="F9" s="15">
        <f>IFERROR(VALUE(Raw_Data!O5), Raw_Data!L5*Raw_Data!M5)</f>
        <v>2137.4499999999998</v>
      </c>
    </row>
    <row r="10" spans="1:6" x14ac:dyDescent="0.35">
      <c r="A10" s="4" t="s">
        <v>43</v>
      </c>
      <c r="B10" s="13">
        <v>0</v>
      </c>
      <c r="C10" s="15" t="str">
        <f t="shared" si="0"/>
        <v>Unknown Customer</v>
      </c>
      <c r="D10" s="17">
        <v>0.2</v>
      </c>
      <c r="E10" s="15">
        <f>IFERROR(IF(Raw_Data!N6="", 0, IF(Raw_Data!N6&gt;1, Raw_Data!N6/100, Raw_Data!N6)), 0)</f>
        <v>0.2</v>
      </c>
      <c r="F10" s="15">
        <f>IFERROR(VALUE(Raw_Data!O6), Raw_Data!L6*Raw_Data!M6)</f>
        <v>896.19</v>
      </c>
    </row>
    <row r="11" spans="1:6" x14ac:dyDescent="0.35">
      <c r="A11" s="4" t="s">
        <v>49</v>
      </c>
      <c r="B11" s="13" t="s">
        <v>50</v>
      </c>
      <c r="C11" s="15" t="str">
        <f t="shared" si="0"/>
        <v>Omar Raza</v>
      </c>
      <c r="D11" s="17">
        <v>0</v>
      </c>
      <c r="E11" s="15">
        <f>IFERROR(IF(Raw_Data!N7="", 0, IF(Raw_Data!N7&gt;1, Raw_Data!N7/100, Raw_Data!N7)), 0)</f>
        <v>0</v>
      </c>
      <c r="F11" s="15">
        <f>IFERROR(VALUE(Raw_Data!O7), Raw_Data!L7*Raw_Data!M7)</f>
        <v>6820.6</v>
      </c>
    </row>
    <row r="12" spans="1:6" x14ac:dyDescent="0.35">
      <c r="A12" s="4" t="s">
        <v>55</v>
      </c>
      <c r="B12" s="13" t="s">
        <v>56</v>
      </c>
      <c r="C12" s="15" t="str">
        <f t="shared" si="0"/>
        <v>Zara Qureshi</v>
      </c>
      <c r="D12" s="17">
        <v>0.3</v>
      </c>
      <c r="E12" s="15">
        <f>IFERROR(IF(Raw_Data!N8="", 0, IF(Raw_Data!N8&gt;1, Raw_Data!N8/100, Raw_Data!N8)), 0)</f>
        <v>0.3</v>
      </c>
      <c r="F12" s="15">
        <f>IFERROR(VALUE(Raw_Data!O8), Raw_Data!L8*Raw_Data!M8)</f>
        <v>3695.76</v>
      </c>
    </row>
    <row r="13" spans="1:6" x14ac:dyDescent="0.35">
      <c r="A13" s="4" t="s">
        <v>58</v>
      </c>
      <c r="B13" s="13" t="s">
        <v>60</v>
      </c>
      <c r="C13" s="15" t="str">
        <f t="shared" si="0"/>
        <v>Imran Sheikh</v>
      </c>
      <c r="D13" s="17">
        <v>0.1</v>
      </c>
      <c r="E13" s="15">
        <f>IFERROR(IF(Raw_Data!N9="", 0, IF(Raw_Data!N9&gt;1, Raw_Data!N9/100, Raw_Data!N9)), 0)</f>
        <v>0.1</v>
      </c>
      <c r="F13" s="15">
        <f>IFERROR(VALUE(Raw_Data!O9), Raw_Data!L9*Raw_Data!M9)</f>
        <v>2999.82</v>
      </c>
    </row>
    <row r="14" spans="1:6" x14ac:dyDescent="0.35">
      <c r="A14" s="4" t="s">
        <v>64</v>
      </c>
      <c r="B14" s="13" t="s">
        <v>66</v>
      </c>
      <c r="C14" s="15" t="str">
        <f t="shared" si="0"/>
        <v>Usman Qureshi</v>
      </c>
      <c r="D14" s="17">
        <v>0.3</v>
      </c>
      <c r="E14" s="15">
        <f>IFERROR(IF(Raw_Data!N10="", 0, IF(Raw_Data!N10&gt;1, Raw_Data!N10/100, Raw_Data!N10)), 0)</f>
        <v>0.3</v>
      </c>
      <c r="F14" s="15">
        <f>IFERROR(VALUE(Raw_Data!O10), Raw_Data!L10*Raw_Data!M10)</f>
        <v>1498.28</v>
      </c>
    </row>
    <row r="15" spans="1:6" x14ac:dyDescent="0.35">
      <c r="A15" s="4" t="s">
        <v>70</v>
      </c>
      <c r="B15" s="13" t="s">
        <v>71</v>
      </c>
      <c r="C15" s="15" t="str">
        <f t="shared" si="0"/>
        <v>Nida Khan</v>
      </c>
      <c r="D15" s="17">
        <v>0.3</v>
      </c>
      <c r="E15" s="15">
        <f>IFERROR(IF(Raw_Data!N11="", 0, IF(Raw_Data!N11&gt;1, Raw_Data!N11/100, Raw_Data!N11)), 0)</f>
        <v>0.3</v>
      </c>
      <c r="F15" s="15">
        <f>IFERROR(VALUE(Raw_Data!O11), Raw_Data!L11*Raw_Data!M11)</f>
        <v>1489.54</v>
      </c>
    </row>
    <row r="16" spans="1:6" x14ac:dyDescent="0.35">
      <c r="A16" s="4" t="s">
        <v>76</v>
      </c>
      <c r="B16" s="13" t="s">
        <v>77</v>
      </c>
      <c r="C16" s="15" t="str">
        <f t="shared" si="0"/>
        <v>Mahnoor Iqbal</v>
      </c>
      <c r="D16" s="17">
        <v>0</v>
      </c>
      <c r="E16" s="15">
        <f>IFERROR(IF(Raw_Data!N12="", 0, IF(Raw_Data!N12&gt;1, Raw_Data!N12/100, Raw_Data!N12)), 0)</f>
        <v>0</v>
      </c>
      <c r="F16" s="15">
        <f>IFERROR(VALUE(Raw_Data!O12), Raw_Data!L12*Raw_Data!M12)</f>
        <v>2569.6</v>
      </c>
    </row>
    <row r="17" spans="1:6" x14ac:dyDescent="0.35">
      <c r="A17" s="4" t="s">
        <v>80</v>
      </c>
      <c r="B17" s="13" t="s">
        <v>81</v>
      </c>
      <c r="C17" s="15" t="str">
        <f t="shared" si="0"/>
        <v>Zara Butt</v>
      </c>
      <c r="D17" s="17">
        <v>0</v>
      </c>
      <c r="E17" s="15">
        <f>IFERROR(IF(Raw_Data!N13="", 0, IF(Raw_Data!N13&gt;1, Raw_Data!N13/100, Raw_Data!N13)), 0)</f>
        <v>0</v>
      </c>
      <c r="F17" s="15">
        <f>IFERROR(VALUE(Raw_Data!O13), Raw_Data!L13*Raw_Data!M13)</f>
        <v>999.64</v>
      </c>
    </row>
    <row r="18" spans="1:6" x14ac:dyDescent="0.35">
      <c r="A18" s="4" t="s">
        <v>84</v>
      </c>
      <c r="B18" s="13" t="s">
        <v>85</v>
      </c>
      <c r="C18" s="15" t="str">
        <f t="shared" si="0"/>
        <v>Ahmed Malik</v>
      </c>
      <c r="D18" s="17">
        <v>0</v>
      </c>
      <c r="E18" s="15">
        <f>IFERROR(IF(Raw_Data!N14="", 0, IF(Raw_Data!N14&gt;1, Raw_Data!N14/100, Raw_Data!N14)), 0)</f>
        <v>0</v>
      </c>
      <c r="F18" s="15">
        <f>IFERROR(VALUE(Raw_Data!O14), Raw_Data!L14*Raw_Data!M14)</f>
        <v>1021.64</v>
      </c>
    </row>
    <row r="19" spans="1:6" x14ac:dyDescent="0.35">
      <c r="A19" s="4" t="s">
        <v>88</v>
      </c>
      <c r="B19" s="13" t="s">
        <v>89</v>
      </c>
      <c r="C19" s="15" t="str">
        <f t="shared" si="0"/>
        <v>Hina Khan</v>
      </c>
      <c r="D19" s="17">
        <v>0.3</v>
      </c>
      <c r="E19" s="15">
        <f>IFERROR(IF(Raw_Data!N15="", 0, IF(Raw_Data!N15&gt;1, Raw_Data!N15/100, Raw_Data!N15)), 0)</f>
        <v>0.3</v>
      </c>
      <c r="F19" s="15">
        <f>IFERROR(VALUE(Raw_Data!O15), Raw_Data!L15*Raw_Data!M15)</f>
        <v>8087.75</v>
      </c>
    </row>
    <row r="20" spans="1:6" x14ac:dyDescent="0.35">
      <c r="A20" s="4" t="s">
        <v>92</v>
      </c>
      <c r="B20" s="13" t="s">
        <v>93</v>
      </c>
      <c r="C20" s="15" t="str">
        <f t="shared" si="0"/>
        <v>Fatima Qureshi</v>
      </c>
      <c r="D20" s="17">
        <v>0.2</v>
      </c>
      <c r="E20" s="15">
        <f>IFERROR(IF(Raw_Data!N16="", 0, IF(Raw_Data!N16&gt;1, Raw_Data!N16/100, Raw_Data!N16)), 0)</f>
        <v>0.2</v>
      </c>
      <c r="F20" s="15">
        <f>IFERROR(VALUE(Raw_Data!O16), Raw_Data!L16*Raw_Data!M16)</f>
        <v>2034.81</v>
      </c>
    </row>
    <row r="21" spans="1:6" x14ac:dyDescent="0.35">
      <c r="A21" s="4" t="s">
        <v>95</v>
      </c>
      <c r="B21" s="13" t="s">
        <v>81</v>
      </c>
      <c r="C21" s="15" t="str">
        <f t="shared" si="0"/>
        <v>Zara Butt</v>
      </c>
      <c r="D21" s="17">
        <v>0</v>
      </c>
      <c r="E21" s="15">
        <f>IFERROR(IF(Raw_Data!N17="", 0, IF(Raw_Data!N17&gt;1, Raw_Data!N17/100, Raw_Data!N17)), 0)</f>
        <v>0</v>
      </c>
      <c r="F21" s="15">
        <f>IFERROR(VALUE(Raw_Data!O17), Raw_Data!L17*Raw_Data!M17)</f>
        <v>402.24</v>
      </c>
    </row>
    <row r="22" spans="1:6" x14ac:dyDescent="0.35">
      <c r="A22" s="4" t="s">
        <v>97</v>
      </c>
      <c r="B22" s="13" t="s">
        <v>98</v>
      </c>
      <c r="C22" s="15" t="str">
        <f t="shared" si="0"/>
        <v>Sana Ansari</v>
      </c>
      <c r="D22" s="17">
        <v>0.15</v>
      </c>
      <c r="E22" s="15">
        <f>IFERROR(IF(Raw_Data!N18="", 0, IF(Raw_Data!N18&gt;1, Raw_Data!N18/100, Raw_Data!N18)), 0)</f>
        <v>0.15</v>
      </c>
      <c r="F22" s="15">
        <f>IFERROR(VALUE(Raw_Data!O18), Raw_Data!L18*Raw_Data!M18)</f>
        <v>720.13</v>
      </c>
    </row>
    <row r="23" spans="1:6" x14ac:dyDescent="0.35">
      <c r="A23" s="4" t="s">
        <v>101</v>
      </c>
      <c r="B23" s="13" t="s">
        <v>102</v>
      </c>
      <c r="C23" s="15" t="str">
        <f t="shared" si="0"/>
        <v>Zara Chaudhry</v>
      </c>
      <c r="D23" s="17">
        <v>0</v>
      </c>
      <c r="E23" s="15">
        <f>IFERROR(IF(Raw_Data!N19="", 0, IF(Raw_Data!N19&gt;1, Raw_Data!N19/100, Raw_Data!N19)), 0)</f>
        <v>0</v>
      </c>
      <c r="F23" s="15">
        <f>IFERROR(VALUE(Raw_Data!O19), Raw_Data!L19*Raw_Data!M19)</f>
        <v>1542.87</v>
      </c>
    </row>
    <row r="24" spans="1:6" x14ac:dyDescent="0.35">
      <c r="A24" s="4" t="s">
        <v>104</v>
      </c>
      <c r="B24" s="13" t="s">
        <v>40</v>
      </c>
      <c r="C24" s="15" t="str">
        <f t="shared" si="0"/>
        <v>Hina Sheikh</v>
      </c>
      <c r="D24" s="17">
        <v>0</v>
      </c>
      <c r="E24" s="15">
        <f>IFERROR(IF(Raw_Data!N20="", 0, IF(Raw_Data!N20&gt;1, Raw_Data!N20/100, Raw_Data!N20)), 0)</f>
        <v>0</v>
      </c>
      <c r="F24" s="15">
        <f>IFERROR(VALUE(Raw_Data!O20), Raw_Data!L20*Raw_Data!M20)</f>
        <v>5239.68</v>
      </c>
    </row>
    <row r="25" spans="1:6" x14ac:dyDescent="0.35">
      <c r="A25" s="4" t="s">
        <v>106</v>
      </c>
      <c r="B25" s="13" t="s">
        <v>71</v>
      </c>
      <c r="C25" s="15" t="str">
        <f t="shared" si="0"/>
        <v>Nida Khan</v>
      </c>
      <c r="D25" s="17">
        <v>0</v>
      </c>
      <c r="E25" s="15">
        <f>IFERROR(IF(Raw_Data!N21="", 0, IF(Raw_Data!N21&gt;1, Raw_Data!N21/100, Raw_Data!N21)), 0)</f>
        <v>0</v>
      </c>
      <c r="F25" s="15">
        <f>IFERROR(VALUE(Raw_Data!O21), Raw_Data!L21*Raw_Data!M21)</f>
        <v>2504.6999999999998</v>
      </c>
    </row>
    <row r="26" spans="1:6" x14ac:dyDescent="0.35">
      <c r="A26" s="4" t="s">
        <v>109</v>
      </c>
      <c r="B26" s="13" t="s">
        <v>110</v>
      </c>
      <c r="C26" s="15" t="str">
        <f t="shared" si="0"/>
        <v>Omar Chaudhry</v>
      </c>
      <c r="D26" s="17">
        <v>0.1</v>
      </c>
      <c r="E26" s="15">
        <f>IFERROR(IF(Raw_Data!N22="", 0, IF(Raw_Data!N22&gt;1, Raw_Data!N22/100, Raw_Data!N22)), 0)</f>
        <v>0.1</v>
      </c>
      <c r="F26" s="15">
        <f>IFERROR(VALUE(Raw_Data!O22), Raw_Data!L22*Raw_Data!M22)</f>
        <v>1049.0899999999999</v>
      </c>
    </row>
    <row r="27" spans="1:6" x14ac:dyDescent="0.35">
      <c r="A27" s="4" t="s">
        <v>113</v>
      </c>
      <c r="B27" s="13" t="s">
        <v>114</v>
      </c>
      <c r="C27" s="15" t="str">
        <f t="shared" si="0"/>
        <v>Imran Malik</v>
      </c>
      <c r="D27" s="17">
        <v>0.15</v>
      </c>
      <c r="E27" s="15">
        <f>IFERROR(IF(Raw_Data!N23="", 0, IF(Raw_Data!N23&gt;1, Raw_Data!N23/100, Raw_Data!N23)), 0)</f>
        <v>0.15</v>
      </c>
      <c r="F27" s="15">
        <f>IFERROR(VALUE(Raw_Data!O23), Raw_Data!L23*Raw_Data!M23)</f>
        <v>2855.43</v>
      </c>
    </row>
    <row r="28" spans="1:6" x14ac:dyDescent="0.35">
      <c r="A28" s="4" t="s">
        <v>117</v>
      </c>
      <c r="B28" s="13" t="s">
        <v>118</v>
      </c>
      <c r="C28" s="15" t="str">
        <f t="shared" si="0"/>
        <v>Ali Malik</v>
      </c>
      <c r="D28" s="17">
        <v>0.3</v>
      </c>
      <c r="E28" s="15">
        <f>IFERROR(IF(Raw_Data!N24="", 0, IF(Raw_Data!N24&gt;1, Raw_Data!N24/100, Raw_Data!N24)), 0)</f>
        <v>0.3</v>
      </c>
      <c r="F28" s="15">
        <f>IFERROR(VALUE(Raw_Data!O24), Raw_Data!L24*Raw_Data!M24)</f>
        <v>5179.41</v>
      </c>
    </row>
    <row r="29" spans="1:6" x14ac:dyDescent="0.35">
      <c r="A29" s="4" t="s">
        <v>119</v>
      </c>
      <c r="B29" s="13" t="s">
        <v>120</v>
      </c>
      <c r="C29" s="15" t="str">
        <f t="shared" si="0"/>
        <v>Adeel Qureshi</v>
      </c>
      <c r="D29" s="17">
        <v>0</v>
      </c>
      <c r="E29" s="15">
        <f>IFERROR(IF(Raw_Data!N25="", 0, IF(Raw_Data!N25&gt;1, Raw_Data!N25/100, Raw_Data!N25)), 0)</f>
        <v>0</v>
      </c>
      <c r="F29" s="15">
        <f>IFERROR(VALUE(Raw_Data!O25), Raw_Data!L25*Raw_Data!M25)</f>
        <v>1360.7</v>
      </c>
    </row>
    <row r="30" spans="1:6" x14ac:dyDescent="0.35">
      <c r="A30" s="4" t="s">
        <v>121</v>
      </c>
      <c r="B30" s="13" t="s">
        <v>122</v>
      </c>
      <c r="C30" s="15" t="str">
        <f t="shared" si="0"/>
        <v>Hina Malik</v>
      </c>
      <c r="D30" s="17">
        <v>0</v>
      </c>
      <c r="E30" s="15">
        <f>IFERROR(IF(Raw_Data!N26="", 0, IF(Raw_Data!N26&gt;1, Raw_Data!N26/100, Raw_Data!N26)), 0)</f>
        <v>0</v>
      </c>
      <c r="F30" s="15">
        <f>IFERROR(VALUE(Raw_Data!O26), Raw_Data!L26*Raw_Data!M26)</f>
        <v>102.45</v>
      </c>
    </row>
    <row r="31" spans="1:6" x14ac:dyDescent="0.35">
      <c r="A31" s="4" t="s">
        <v>125</v>
      </c>
      <c r="B31" s="13" t="s">
        <v>126</v>
      </c>
      <c r="C31" s="15" t="str">
        <f t="shared" si="0"/>
        <v>Ahmed Chaudhry</v>
      </c>
      <c r="D31" s="17">
        <v>0.15</v>
      </c>
      <c r="E31" s="15">
        <f>IFERROR(IF(Raw_Data!N27="", 0, IF(Raw_Data!N27&gt;1, Raw_Data!N27/100, Raw_Data!N27)), 0)</f>
        <v>0.15</v>
      </c>
      <c r="F31" s="15">
        <f>IFERROR(VALUE(Raw_Data!O27), Raw_Data!L27*Raw_Data!M27)</f>
        <v>1873.56</v>
      </c>
    </row>
    <row r="32" spans="1:6" x14ac:dyDescent="0.35">
      <c r="A32" s="4" t="s">
        <v>127</v>
      </c>
      <c r="B32" s="13" t="s">
        <v>66</v>
      </c>
      <c r="C32" s="15" t="str">
        <f t="shared" si="0"/>
        <v>Usman Qureshi</v>
      </c>
      <c r="D32" s="17">
        <v>0.3</v>
      </c>
      <c r="E32" s="15">
        <f>IFERROR(IF(Raw_Data!N28="", 0, IF(Raw_Data!N28&gt;1, Raw_Data!N28/100, Raw_Data!N28)), 0)</f>
        <v>0.3</v>
      </c>
      <c r="F32" s="15">
        <f>IFERROR(VALUE(Raw_Data!O28), Raw_Data!L28*Raw_Data!M28)</f>
        <v>160.38</v>
      </c>
    </row>
    <row r="33" spans="1:6" x14ac:dyDescent="0.35">
      <c r="A33" s="4" t="s">
        <v>130</v>
      </c>
      <c r="B33" s="13" t="s">
        <v>131</v>
      </c>
      <c r="C33" s="15" t="str">
        <f t="shared" si="0"/>
        <v>Ahmed Iqbal</v>
      </c>
      <c r="D33" s="17">
        <v>0</v>
      </c>
      <c r="E33" s="15">
        <f>IFERROR(IF(Raw_Data!N29="", 0, IF(Raw_Data!N29&gt;1, Raw_Data!N29/100, Raw_Data!N29)), 0)</f>
        <v>0</v>
      </c>
      <c r="F33" s="15">
        <f>IFERROR(VALUE(Raw_Data!O29), Raw_Data!L29*Raw_Data!M29)</f>
        <v>592.47</v>
      </c>
    </row>
    <row r="34" spans="1:6" x14ac:dyDescent="0.35">
      <c r="A34" s="4" t="s">
        <v>134</v>
      </c>
      <c r="B34" s="13" t="s">
        <v>135</v>
      </c>
      <c r="C34" s="15" t="str">
        <f t="shared" si="0"/>
        <v>Adeel Malik</v>
      </c>
      <c r="D34" s="17">
        <v>0.3</v>
      </c>
      <c r="E34" s="15">
        <f>IFERROR(IF(Raw_Data!N30="", 0, IF(Raw_Data!N30&gt;1, Raw_Data!N30/100, Raw_Data!N30)), 0)</f>
        <v>0.3</v>
      </c>
      <c r="F34" s="15">
        <f>IFERROR(VALUE(Raw_Data!O30), Raw_Data!L30*Raw_Data!M30)</f>
        <v>1451.7</v>
      </c>
    </row>
    <row r="35" spans="1:6" x14ac:dyDescent="0.35">
      <c r="A35" s="4" t="s">
        <v>136</v>
      </c>
      <c r="B35" s="13" t="s">
        <v>137</v>
      </c>
      <c r="C35" s="15" t="str">
        <f t="shared" si="0"/>
        <v>Ayesha Farooq</v>
      </c>
      <c r="D35" s="17">
        <v>0.1</v>
      </c>
      <c r="E35" s="15">
        <f>IFERROR(IF(Raw_Data!N31="", 0, IF(Raw_Data!N31&gt;1, Raw_Data!N31/100, Raw_Data!N31)), 0)</f>
        <v>0.1</v>
      </c>
      <c r="F35" s="15">
        <f>IFERROR(VALUE(Raw_Data!O31), Raw_Data!L31*Raw_Data!M31)</f>
        <v>9890.65</v>
      </c>
    </row>
    <row r="36" spans="1:6" x14ac:dyDescent="0.35">
      <c r="A36" s="4" t="s">
        <v>138</v>
      </c>
      <c r="B36" s="13" t="s">
        <v>139</v>
      </c>
      <c r="C36" s="15" t="str">
        <f t="shared" si="0"/>
        <v>Tariq Malik</v>
      </c>
      <c r="D36" s="17">
        <v>0.2</v>
      </c>
      <c r="E36" s="15">
        <f>IFERROR(IF(Raw_Data!N32="", 0, IF(Raw_Data!N32&gt;1, Raw_Data!N32/100, Raw_Data!N32)), 0)</f>
        <v>0.2</v>
      </c>
      <c r="F36" s="15">
        <f>IFERROR(VALUE(Raw_Data!O32), Raw_Data!L32*Raw_Data!M32)</f>
        <v>8400.6</v>
      </c>
    </row>
    <row r="37" spans="1:6" x14ac:dyDescent="0.35">
      <c r="A37" s="4" t="s">
        <v>140</v>
      </c>
      <c r="B37" s="13" t="s">
        <v>141</v>
      </c>
      <c r="C37" s="15" t="str">
        <f t="shared" si="0"/>
        <v>Fatima Ansari</v>
      </c>
      <c r="D37" s="17">
        <v>0.2</v>
      </c>
      <c r="E37" s="15">
        <f>IFERROR(IF(Raw_Data!N33="", 0, IF(Raw_Data!N33&gt;1, Raw_Data!N33/100, Raw_Data!N33)), 0)</f>
        <v>0.2</v>
      </c>
      <c r="F37" s="15">
        <f>IFERROR(VALUE(Raw_Data!O33), Raw_Data!L33*Raw_Data!M33)</f>
        <v>816.44</v>
      </c>
    </row>
    <row r="38" spans="1:6" x14ac:dyDescent="0.35">
      <c r="A38" s="4" t="s">
        <v>142</v>
      </c>
      <c r="B38" s="13" t="s">
        <v>143</v>
      </c>
      <c r="C38" s="15" t="str">
        <f t="shared" si="0"/>
        <v>Zara Sheikh</v>
      </c>
      <c r="D38" s="17">
        <v>0.3</v>
      </c>
      <c r="E38" s="15">
        <f>IFERROR(IF(Raw_Data!N34="", 0, IF(Raw_Data!N34&gt;1, Raw_Data!N34/100, Raw_Data!N34)), 0)</f>
        <v>0.3</v>
      </c>
      <c r="F38" s="15">
        <f>IFERROR(VALUE(Raw_Data!O34), Raw_Data!L34*Raw_Data!M34)</f>
        <v>2785.09</v>
      </c>
    </row>
    <row r="39" spans="1:6" x14ac:dyDescent="0.35">
      <c r="A39" s="4" t="s">
        <v>145</v>
      </c>
      <c r="B39" s="13" t="s">
        <v>146</v>
      </c>
      <c r="C39" s="15" t="str">
        <f t="shared" si="0"/>
        <v>Fatima Iqbal</v>
      </c>
      <c r="D39" s="17">
        <v>0</v>
      </c>
      <c r="E39" s="15">
        <f>IFERROR(IF(Raw_Data!N35="", 0, IF(Raw_Data!N35&gt;1, Raw_Data!N35/100, Raw_Data!N35)), 0)</f>
        <v>0</v>
      </c>
      <c r="F39" s="15">
        <f>IFERROR(VALUE(Raw_Data!O35), Raw_Data!L35*Raw_Data!M35)</f>
        <v>8268.4</v>
      </c>
    </row>
    <row r="40" spans="1:6" x14ac:dyDescent="0.35">
      <c r="A40" s="4" t="s">
        <v>148</v>
      </c>
      <c r="B40" s="13" t="s">
        <v>149</v>
      </c>
      <c r="C40" s="15" t="str">
        <f t="shared" si="0"/>
        <v>Usman Butt</v>
      </c>
      <c r="D40" s="17">
        <v>0.15</v>
      </c>
      <c r="E40" s="15">
        <f>IFERROR(IF(Raw_Data!N36="", 0, IF(Raw_Data!N36&gt;1, Raw_Data!N36/100, Raw_Data!N36)), 0)</f>
        <v>0.15</v>
      </c>
      <c r="F40" s="15">
        <f>IFERROR(VALUE(Raw_Data!O36), Raw_Data!L36*Raw_Data!M36)</f>
        <v>2055.69</v>
      </c>
    </row>
    <row r="41" spans="1:6" x14ac:dyDescent="0.35">
      <c r="A41" s="4" t="s">
        <v>150</v>
      </c>
      <c r="B41" s="13" t="s">
        <v>151</v>
      </c>
      <c r="C41" s="15" t="str">
        <f t="shared" si="0"/>
        <v>Hina Butt</v>
      </c>
      <c r="D41" s="17">
        <v>0</v>
      </c>
      <c r="E41" s="15">
        <f>IFERROR(IF(Raw_Data!N37="", 0, IF(Raw_Data!N37&gt;1, Raw_Data!N37/100, Raw_Data!N37)), 0)</f>
        <v>0</v>
      </c>
      <c r="F41" s="15">
        <f>IFERROR(VALUE(Raw_Data!O37), Raw_Data!L37*Raw_Data!M37)</f>
        <v>2868.08</v>
      </c>
    </row>
    <row r="42" spans="1:6" x14ac:dyDescent="0.35">
      <c r="A42" s="4" t="s">
        <v>152</v>
      </c>
      <c r="B42" s="13" t="s">
        <v>153</v>
      </c>
      <c r="C42" s="15" t="str">
        <f t="shared" si="0"/>
        <v>Tariq Butt</v>
      </c>
      <c r="D42" s="17">
        <v>0</v>
      </c>
      <c r="E42" s="15">
        <f>IFERROR(IF(Raw_Data!N38="", 0, IF(Raw_Data!N38&gt;1, Raw_Data!N38/100, Raw_Data!N38)), 0)</f>
        <v>0</v>
      </c>
      <c r="F42" s="15">
        <f>IFERROR(VALUE(Raw_Data!O38), Raw_Data!L38*Raw_Data!M38)</f>
        <v>3429.1</v>
      </c>
    </row>
    <row r="43" spans="1:6" x14ac:dyDescent="0.35">
      <c r="A43" s="4" t="s">
        <v>155</v>
      </c>
      <c r="B43" s="13" t="s">
        <v>156</v>
      </c>
      <c r="C43" s="15" t="str">
        <f t="shared" si="0"/>
        <v>Adeel Butt</v>
      </c>
      <c r="D43" s="17">
        <v>0</v>
      </c>
      <c r="E43" s="15">
        <f>IFERROR(IF(Raw_Data!N39="", 0, IF(Raw_Data!N39&gt;1, Raw_Data!N39/100, Raw_Data!N39)), 0)</f>
        <v>0</v>
      </c>
      <c r="F43" s="15">
        <f>IFERROR(VALUE(Raw_Data!O39), Raw_Data!L39*Raw_Data!M39)</f>
        <v>7393.1</v>
      </c>
    </row>
    <row r="44" spans="1:6" x14ac:dyDescent="0.35">
      <c r="A44" s="4" t="s">
        <v>157</v>
      </c>
      <c r="B44" s="13" t="s">
        <v>158</v>
      </c>
      <c r="C44" s="15" t="str">
        <f t="shared" si="0"/>
        <v>Mahnoor Khan</v>
      </c>
      <c r="D44" s="17">
        <v>0.1</v>
      </c>
      <c r="E44" s="15">
        <f>IFERROR(IF(Raw_Data!N40="", 0, IF(Raw_Data!N40&gt;1, Raw_Data!N40/100, Raw_Data!N40)), 0)</f>
        <v>0.1</v>
      </c>
      <c r="F44" s="15">
        <f>IFERROR(VALUE(Raw_Data!O40), Raw_Data!L40*Raw_Data!M40)</f>
        <v>8879.1</v>
      </c>
    </row>
    <row r="45" spans="1:6" x14ac:dyDescent="0.35">
      <c r="A45" s="4" t="s">
        <v>162</v>
      </c>
      <c r="B45" s="13" t="s">
        <v>163</v>
      </c>
      <c r="C45" s="15" t="str">
        <f t="shared" si="0"/>
        <v>Bilal Butt</v>
      </c>
      <c r="D45" s="17">
        <v>0.1</v>
      </c>
      <c r="E45" s="15">
        <f>IFERROR(IF(Raw_Data!N41="", 0, IF(Raw_Data!N41&gt;1, Raw_Data!N41/100, Raw_Data!N41)), 0)</f>
        <v>0.1</v>
      </c>
      <c r="F45" s="15">
        <f>IFERROR(VALUE(Raw_Data!O41), Raw_Data!L41*Raw_Data!M41)</f>
        <v>185.86</v>
      </c>
    </row>
    <row r="46" spans="1:6" x14ac:dyDescent="0.35">
      <c r="A46" s="4" t="s">
        <v>164</v>
      </c>
      <c r="B46" s="13" t="s">
        <v>102</v>
      </c>
      <c r="C46" s="15" t="str">
        <f t="shared" si="0"/>
        <v>Zara Chaudhry</v>
      </c>
      <c r="D46" s="17">
        <v>0</v>
      </c>
      <c r="E46" s="15">
        <f>IFERROR(IF(Raw_Data!N42="", 0, IF(Raw_Data!N42&gt;1, Raw_Data!N42/100, Raw_Data!N42)), 0)</f>
        <v>0</v>
      </c>
      <c r="F46" s="15">
        <f>IFERROR(VALUE(Raw_Data!O42), Raw_Data!L42*Raw_Data!M42)</f>
        <v>3696.7</v>
      </c>
    </row>
    <row r="47" spans="1:6" x14ac:dyDescent="0.35">
      <c r="A47" s="4" t="s">
        <v>166</v>
      </c>
      <c r="B47" s="13" t="s">
        <v>167</v>
      </c>
      <c r="C47" s="15" t="str">
        <f t="shared" si="0"/>
        <v>Imran Farooq</v>
      </c>
      <c r="D47" s="17">
        <v>0.15</v>
      </c>
      <c r="E47" s="15">
        <f>IFERROR(IF(Raw_Data!N43="", 0, IF(Raw_Data!N43&gt;1, Raw_Data!N43/100, Raw_Data!N43)), 0)</f>
        <v>0.15</v>
      </c>
      <c r="F47" s="15">
        <f>IFERROR(VALUE(Raw_Data!O43), Raw_Data!L43*Raw_Data!M43)</f>
        <v>9459.01</v>
      </c>
    </row>
    <row r="48" spans="1:6" x14ac:dyDescent="0.35">
      <c r="A48" s="4" t="s">
        <v>168</v>
      </c>
      <c r="B48" s="13" t="s">
        <v>169</v>
      </c>
      <c r="C48" s="15" t="str">
        <f t="shared" si="0"/>
        <v>Kamran Ansari</v>
      </c>
      <c r="D48" s="17">
        <v>0.15</v>
      </c>
      <c r="E48" s="15">
        <f>IFERROR(IF(Raw_Data!N44="", 0, IF(Raw_Data!N44&gt;1, Raw_Data!N44/100, Raw_Data!N44)), 0)</f>
        <v>0.15</v>
      </c>
      <c r="F48" s="15">
        <f>IFERROR(VALUE(Raw_Data!O44), Raw_Data!L44*Raw_Data!M44)</f>
        <v>5.75</v>
      </c>
    </row>
    <row r="49" spans="1:6" x14ac:dyDescent="0.35">
      <c r="A49" s="4" t="s">
        <v>170</v>
      </c>
      <c r="B49" s="13" t="s">
        <v>171</v>
      </c>
      <c r="C49" s="15" t="str">
        <f t="shared" si="0"/>
        <v>Sara Khan</v>
      </c>
      <c r="D49" s="17">
        <v>0.1</v>
      </c>
      <c r="E49" s="15">
        <f>IFERROR(IF(Raw_Data!N45="", 0, IF(Raw_Data!N45&gt;1, Raw_Data!N45/100, Raw_Data!N45)), 0)</f>
        <v>0.1</v>
      </c>
      <c r="F49" s="15">
        <f>IFERROR(VALUE(Raw_Data!O45), Raw_Data!L45*Raw_Data!M45)</f>
        <v>1286.44</v>
      </c>
    </row>
    <row r="50" spans="1:6" x14ac:dyDescent="0.35">
      <c r="A50" s="4" t="s">
        <v>172</v>
      </c>
      <c r="B50" s="13" t="s">
        <v>173</v>
      </c>
      <c r="C50" s="15" t="str">
        <f t="shared" si="0"/>
        <v>Ayesha Ansari</v>
      </c>
      <c r="D50" s="17">
        <v>0</v>
      </c>
      <c r="E50" s="15">
        <f>IFERROR(IF(Raw_Data!N46="", 0, IF(Raw_Data!N46&gt;1, Raw_Data!N46/100, Raw_Data!N46)), 0)</f>
        <v>0</v>
      </c>
      <c r="F50" s="15">
        <f>IFERROR(VALUE(Raw_Data!O46), Raw_Data!L46*Raw_Data!M46)</f>
        <v>6694.08</v>
      </c>
    </row>
    <row r="51" spans="1:6" x14ac:dyDescent="0.35">
      <c r="A51" s="4" t="s">
        <v>174</v>
      </c>
      <c r="B51" s="13" t="s">
        <v>139</v>
      </c>
      <c r="C51" s="15" t="str">
        <f t="shared" si="0"/>
        <v>Tariq Malik</v>
      </c>
      <c r="D51" s="17">
        <v>0.15</v>
      </c>
      <c r="E51" s="15">
        <f>IFERROR(IF(Raw_Data!N47="", 0, IF(Raw_Data!N47&gt;1, Raw_Data!N47/100, Raw_Data!N47)), 0)</f>
        <v>0.15</v>
      </c>
      <c r="F51" s="15">
        <f>IFERROR(VALUE(Raw_Data!O47), Raw_Data!L47*Raw_Data!M47)</f>
        <v>5955.6</v>
      </c>
    </row>
    <row r="52" spans="1:6" x14ac:dyDescent="0.35">
      <c r="A52" s="4" t="s">
        <v>175</v>
      </c>
      <c r="B52" s="13" t="s">
        <v>176</v>
      </c>
      <c r="C52" s="15" t="str">
        <f t="shared" si="0"/>
        <v>Omar Butt</v>
      </c>
      <c r="D52" s="17">
        <v>0.15</v>
      </c>
      <c r="E52" s="15">
        <f>IFERROR(IF(Raw_Data!N48="", 0, IF(Raw_Data!N48&gt;1, Raw_Data!N48/100, Raw_Data!N48)), 0)</f>
        <v>0.15</v>
      </c>
      <c r="F52" s="15">
        <f>IFERROR(VALUE(Raw_Data!O48), Raw_Data!L48*Raw_Data!M48)</f>
        <v>278.5</v>
      </c>
    </row>
    <row r="53" spans="1:6" x14ac:dyDescent="0.35">
      <c r="A53" s="4" t="s">
        <v>177</v>
      </c>
      <c r="B53" s="13" t="s">
        <v>146</v>
      </c>
      <c r="C53" s="15" t="str">
        <f t="shared" si="0"/>
        <v>Fatima Iqbal</v>
      </c>
      <c r="D53" s="17">
        <v>0.15</v>
      </c>
      <c r="E53" s="15">
        <f>IFERROR(IF(Raw_Data!N49="", 0, IF(Raw_Data!N49&gt;1, Raw_Data!N49/100, Raw_Data!N49)), 0)</f>
        <v>0.15</v>
      </c>
      <c r="F53" s="15">
        <f>IFERROR(VALUE(Raw_Data!O49), Raw_Data!L49*Raw_Data!M49)</f>
        <v>1567.16</v>
      </c>
    </row>
    <row r="54" spans="1:6" x14ac:dyDescent="0.35">
      <c r="A54" s="4" t="s">
        <v>179</v>
      </c>
      <c r="B54" s="13" t="s">
        <v>180</v>
      </c>
      <c r="C54" s="15" t="str">
        <f t="shared" si="0"/>
        <v>Faisal Butt</v>
      </c>
      <c r="D54" s="17">
        <v>0</v>
      </c>
      <c r="E54" s="15">
        <f>IFERROR(IF(Raw_Data!N50="", 0, IF(Raw_Data!N50&gt;1, Raw_Data!N50/100, Raw_Data!N50)), 0)</f>
        <v>0</v>
      </c>
      <c r="F54" s="15">
        <f>IFERROR(VALUE(Raw_Data!O50), Raw_Data!L50*Raw_Data!M50)</f>
        <v>7168.48</v>
      </c>
    </row>
    <row r="55" spans="1:6" x14ac:dyDescent="0.35">
      <c r="A55" s="4" t="s">
        <v>182</v>
      </c>
      <c r="B55" s="13" t="s">
        <v>85</v>
      </c>
      <c r="C55" s="15" t="str">
        <f t="shared" si="0"/>
        <v>Ahmed Malik</v>
      </c>
      <c r="D55" s="17">
        <v>0</v>
      </c>
      <c r="E55" s="15">
        <f>IFERROR(IF(Raw_Data!N51="", 0, IF(Raw_Data!N51&gt;1, Raw_Data!N51/100, Raw_Data!N51)), 0)</f>
        <v>0</v>
      </c>
      <c r="F55" s="15">
        <f>IFERROR(VALUE(Raw_Data!O51), Raw_Data!L51*Raw_Data!M51)</f>
        <v>2926.92</v>
      </c>
    </row>
    <row r="56" spans="1:6" x14ac:dyDescent="0.35">
      <c r="A56" s="4" t="s">
        <v>183</v>
      </c>
      <c r="B56" s="13" t="s">
        <v>184</v>
      </c>
      <c r="C56" s="15" t="str">
        <f t="shared" si="0"/>
        <v>Imran Ansari</v>
      </c>
      <c r="D56" s="17">
        <v>0.15</v>
      </c>
      <c r="E56" s="15">
        <f>IFERROR(IF(Raw_Data!N52="", 0, IF(Raw_Data!N52&gt;1, Raw_Data!N52/100, Raw_Data!N52)), 0)</f>
        <v>0.15</v>
      </c>
      <c r="F56" s="15">
        <f>IFERROR(VALUE(Raw_Data!O52), Raw_Data!L52*Raw_Data!M52)</f>
        <v>9879.8700000000008</v>
      </c>
    </row>
    <row r="57" spans="1:6" x14ac:dyDescent="0.35">
      <c r="A57" s="4" t="s">
        <v>185</v>
      </c>
      <c r="B57" s="13" t="s">
        <v>186</v>
      </c>
      <c r="C57" s="15" t="str">
        <f t="shared" si="0"/>
        <v>Ali Qureshi</v>
      </c>
      <c r="D57" s="17">
        <v>0</v>
      </c>
      <c r="E57" s="15">
        <f>IFERROR(IF(Raw_Data!N53="", 0, IF(Raw_Data!N53&gt;1, Raw_Data!N53/100, Raw_Data!N53)), 0)</f>
        <v>0</v>
      </c>
      <c r="F57" s="15">
        <f>IFERROR(VALUE(Raw_Data!O53), Raw_Data!L53*Raw_Data!M53)</f>
        <v>8102.38</v>
      </c>
    </row>
    <row r="58" spans="1:6" x14ac:dyDescent="0.35">
      <c r="A58" s="4" t="s">
        <v>188</v>
      </c>
      <c r="B58" s="13" t="s">
        <v>156</v>
      </c>
      <c r="C58" s="15" t="str">
        <f t="shared" si="0"/>
        <v>Adeel Butt</v>
      </c>
      <c r="D58" s="17">
        <v>0</v>
      </c>
      <c r="E58" s="15">
        <f>IFERROR(IF(Raw_Data!N54="", 0, IF(Raw_Data!N54&gt;1, Raw_Data!N54/100, Raw_Data!N54)), 0)</f>
        <v>0</v>
      </c>
      <c r="F58" s="15">
        <f>IFERROR(VALUE(Raw_Data!O54), Raw_Data!L54*Raw_Data!M54)</f>
        <v>3484.2</v>
      </c>
    </row>
    <row r="59" spans="1:6" x14ac:dyDescent="0.35">
      <c r="A59" s="4" t="s">
        <v>189</v>
      </c>
      <c r="B59" s="13" t="s">
        <v>190</v>
      </c>
      <c r="C59" s="15" t="str">
        <f t="shared" si="0"/>
        <v>Usman Khan</v>
      </c>
      <c r="D59" s="17">
        <v>0</v>
      </c>
      <c r="E59" s="15">
        <f>IFERROR(IF(Raw_Data!N55="", 0, IF(Raw_Data!N55&gt;1, Raw_Data!N55/100, Raw_Data!N55)), 0)</f>
        <v>0</v>
      </c>
      <c r="F59" s="15">
        <f>IFERROR(VALUE(Raw_Data!O55), Raw_Data!L55*Raw_Data!M55)</f>
        <v>8966.5400000000009</v>
      </c>
    </row>
    <row r="60" spans="1:6" x14ac:dyDescent="0.35">
      <c r="A60" s="4" t="s">
        <v>192</v>
      </c>
      <c r="B60" s="13" t="s">
        <v>193</v>
      </c>
      <c r="C60" s="15" t="str">
        <f t="shared" si="0"/>
        <v>Sana Butt</v>
      </c>
      <c r="D60" s="17">
        <v>0.3</v>
      </c>
      <c r="E60" s="15">
        <f>IFERROR(IF(Raw_Data!N56="", 0, IF(Raw_Data!N56&gt;1, Raw_Data!N56/100, Raw_Data!N56)), 0)</f>
        <v>0.3</v>
      </c>
      <c r="F60" s="15">
        <f>IFERROR(VALUE(Raw_Data!O56), Raw_Data!L56*Raw_Data!M56)</f>
        <v>2088.36</v>
      </c>
    </row>
    <row r="61" spans="1:6" x14ac:dyDescent="0.35">
      <c r="A61" s="4" t="s">
        <v>196</v>
      </c>
      <c r="B61" s="13" t="s">
        <v>197</v>
      </c>
      <c r="C61" s="15" t="str">
        <f t="shared" si="0"/>
        <v>Imran Chaudhry</v>
      </c>
      <c r="D61" s="17">
        <v>0.2</v>
      </c>
      <c r="E61" s="15">
        <f>IFERROR(IF(Raw_Data!N57="", 0, IF(Raw_Data!N57&gt;1, Raw_Data!N57/100, Raw_Data!N57)), 0)</f>
        <v>0.2</v>
      </c>
      <c r="F61" s="15">
        <f>IFERROR(VALUE(Raw_Data!O57), Raw_Data!L57*Raw_Data!M57)</f>
        <v>2657.55</v>
      </c>
    </row>
    <row r="62" spans="1:6" x14ac:dyDescent="0.35">
      <c r="A62" s="4" t="s">
        <v>199</v>
      </c>
      <c r="B62" s="13" t="s">
        <v>200</v>
      </c>
      <c r="C62" s="15" t="str">
        <f t="shared" si="0"/>
        <v>Nida Malik</v>
      </c>
      <c r="D62" s="17">
        <v>0.2</v>
      </c>
      <c r="E62" s="15">
        <f>IFERROR(IF(Raw_Data!N58="", 0, IF(Raw_Data!N58&gt;1, Raw_Data!N58/100, Raw_Data!N58)), 0)</f>
        <v>0.2</v>
      </c>
      <c r="F62" s="15">
        <f>IFERROR(VALUE(Raw_Data!O58), Raw_Data!L58*Raw_Data!M58)</f>
        <v>2080.8000000000002</v>
      </c>
    </row>
    <row r="63" spans="1:6" x14ac:dyDescent="0.35">
      <c r="A63" s="4" t="s">
        <v>201</v>
      </c>
      <c r="B63" s="13" t="s">
        <v>202</v>
      </c>
      <c r="C63" s="15" t="str">
        <f t="shared" si="0"/>
        <v>Kamran Qureshi</v>
      </c>
      <c r="D63" s="17">
        <v>0</v>
      </c>
      <c r="E63" s="15">
        <f>IFERROR(IF(Raw_Data!N59="", 0, IF(Raw_Data!N59&gt;1, Raw_Data!N59/100, Raw_Data!N59)), 0)</f>
        <v>0</v>
      </c>
      <c r="F63" s="15">
        <f>IFERROR(VALUE(Raw_Data!O59), Raw_Data!L59*Raw_Data!M59)</f>
        <v>82.36</v>
      </c>
    </row>
    <row r="64" spans="1:6" x14ac:dyDescent="0.35">
      <c r="A64" s="4" t="s">
        <v>203</v>
      </c>
      <c r="B64" s="13" t="s">
        <v>204</v>
      </c>
      <c r="C64" s="15" t="str">
        <f t="shared" si="0"/>
        <v>Faisal Farooq</v>
      </c>
      <c r="D64" s="17">
        <v>0.1</v>
      </c>
      <c r="E64" s="15">
        <f>IFERROR(IF(Raw_Data!N60="", 0, IF(Raw_Data!N60&gt;1, Raw_Data!N60/100, Raw_Data!N60)), 0)</f>
        <v>0.1</v>
      </c>
      <c r="F64" s="15">
        <f>IFERROR(VALUE(Raw_Data!O60), Raw_Data!L60*Raw_Data!M60)</f>
        <v>10059.36</v>
      </c>
    </row>
    <row r="65" spans="1:6" x14ac:dyDescent="0.35">
      <c r="A65" s="4" t="s">
        <v>205</v>
      </c>
      <c r="B65" s="13" t="s">
        <v>139</v>
      </c>
      <c r="C65" s="15" t="str">
        <f t="shared" si="0"/>
        <v>Tariq Malik</v>
      </c>
      <c r="D65" s="17">
        <v>0</v>
      </c>
      <c r="E65" s="15">
        <f>IFERROR(IF(Raw_Data!N61="", 0, IF(Raw_Data!N61&gt;1, Raw_Data!N61/100, Raw_Data!N61)), 0)</f>
        <v>0</v>
      </c>
      <c r="F65" s="15">
        <f>IFERROR(VALUE(Raw_Data!O61), Raw_Data!L61*Raw_Data!M61)</f>
        <v>539.54999999999995</v>
      </c>
    </row>
    <row r="66" spans="1:6" x14ac:dyDescent="0.35">
      <c r="A66" s="4" t="s">
        <v>206</v>
      </c>
      <c r="B66" s="13" t="s">
        <v>207</v>
      </c>
      <c r="C66" s="15" t="str">
        <f t="shared" si="0"/>
        <v>Kamran Butt</v>
      </c>
      <c r="D66" s="17">
        <v>0</v>
      </c>
      <c r="E66" s="15">
        <f>IFERROR(IF(Raw_Data!N62="", 0, IF(Raw_Data!N62&gt;1, Raw_Data!N62/100, Raw_Data!N62)), 0)</f>
        <v>0</v>
      </c>
      <c r="F66" s="15">
        <f>IFERROR(VALUE(Raw_Data!O62), Raw_Data!L62*Raw_Data!M62)</f>
        <v>7041.96</v>
      </c>
    </row>
    <row r="67" spans="1:6" x14ac:dyDescent="0.35">
      <c r="A67" s="4" t="s">
        <v>209</v>
      </c>
      <c r="B67" s="13" t="s">
        <v>210</v>
      </c>
      <c r="C67" s="15" t="str">
        <f t="shared" si="0"/>
        <v>Imran Butt</v>
      </c>
      <c r="D67" s="17">
        <v>0</v>
      </c>
      <c r="E67" s="15">
        <f>IFERROR(IF(Raw_Data!N63="", 0, IF(Raw_Data!N63&gt;1, Raw_Data!N63/100, Raw_Data!N63)), 0)</f>
        <v>0</v>
      </c>
      <c r="F67" s="15">
        <f>IFERROR(VALUE(Raw_Data!O63), Raw_Data!L63*Raw_Data!M63)</f>
        <v>5197.1000000000004</v>
      </c>
    </row>
    <row r="68" spans="1:6" x14ac:dyDescent="0.35">
      <c r="A68" s="4" t="s">
        <v>212</v>
      </c>
      <c r="B68" s="13" t="s">
        <v>213</v>
      </c>
      <c r="C68" s="15" t="str">
        <f t="shared" si="0"/>
        <v>Hina Iqbal</v>
      </c>
      <c r="D68" s="17">
        <v>0</v>
      </c>
      <c r="E68" s="15">
        <f>IFERROR(IF(Raw_Data!N64="", 0, IF(Raw_Data!N64&gt;1, Raw_Data!N64/100, Raw_Data!N64)), 0)</f>
        <v>0</v>
      </c>
      <c r="F68" s="15">
        <f>IFERROR(VALUE(Raw_Data!O64), Raw_Data!L64*Raw_Data!M64)</f>
        <v>8858.9</v>
      </c>
    </row>
    <row r="69" spans="1:6" x14ac:dyDescent="0.35">
      <c r="A69" s="4" t="s">
        <v>214</v>
      </c>
      <c r="B69" s="13" t="s">
        <v>255</v>
      </c>
      <c r="C69" s="15" t="str">
        <f t="shared" si="0"/>
        <v>Tariq Ansari</v>
      </c>
      <c r="D69" s="17">
        <v>0.3</v>
      </c>
      <c r="E69" s="15">
        <f>IFERROR(IF(Raw_Data!N65="", 0, IF(Raw_Data!N65&gt;1, Raw_Data!N65/100, Raw_Data!N65)), 0)</f>
        <v>0.3</v>
      </c>
      <c r="F69" s="15">
        <f>IFERROR(VALUE(Raw_Data!O65), Raw_Data!L65*Raw_Data!M65)</f>
        <v>6930.96</v>
      </c>
    </row>
    <row r="70" spans="1:6" x14ac:dyDescent="0.35">
      <c r="A70" s="4" t="s">
        <v>217</v>
      </c>
      <c r="B70" s="13" t="s">
        <v>218</v>
      </c>
      <c r="C70" s="15" t="str">
        <f t="shared" si="0"/>
        <v>Usman Iqbal</v>
      </c>
      <c r="D70" s="17">
        <v>0</v>
      </c>
      <c r="E70" s="15">
        <f>IFERROR(IF(Raw_Data!N66="", 0, IF(Raw_Data!N66&gt;1, Raw_Data!N66/100, Raw_Data!N66)), 0)</f>
        <v>0</v>
      </c>
      <c r="F70" s="15">
        <f>IFERROR(VALUE(Raw_Data!O66), Raw_Data!L66*Raw_Data!M66)</f>
        <v>536.52</v>
      </c>
    </row>
    <row r="71" spans="1:6" x14ac:dyDescent="0.35">
      <c r="A71" s="4" t="s">
        <v>220</v>
      </c>
      <c r="B71" s="13" t="s">
        <v>221</v>
      </c>
      <c r="C71" s="15" t="str">
        <f t="shared" ref="C71:C134" si="1">IF(OR(B71="",B71=0), "Unknown Customer", PROPER(TRIM(B71)))</f>
        <v>Bilal Chaudhry</v>
      </c>
      <c r="D71" s="17">
        <v>0</v>
      </c>
      <c r="E71" s="15">
        <f>IFERROR(IF(Raw_Data!N67="", 0, IF(Raw_Data!N67&gt;1, Raw_Data!N67/100, Raw_Data!N67)), 0)</f>
        <v>0</v>
      </c>
      <c r="F71" s="15">
        <f>IFERROR(VALUE(Raw_Data!O67), Raw_Data!L67*Raw_Data!M67)</f>
        <v>2180.0500000000002</v>
      </c>
    </row>
    <row r="72" spans="1:6" x14ac:dyDescent="0.35">
      <c r="A72" s="4" t="s">
        <v>222</v>
      </c>
      <c r="B72" s="13" t="s">
        <v>223</v>
      </c>
      <c r="C72" s="15" t="str">
        <f t="shared" si="1"/>
        <v>Hina Qureshi</v>
      </c>
      <c r="D72" s="17">
        <v>0</v>
      </c>
      <c r="E72" s="15">
        <f>IFERROR(IF(Raw_Data!N68="", 0, IF(Raw_Data!N68&gt;1, Raw_Data!N68/100, Raw_Data!N68)), 0)</f>
        <v>0</v>
      </c>
      <c r="F72" s="15">
        <f>IFERROR(VALUE(Raw_Data!O68), Raw_Data!L68*Raw_Data!M68)</f>
        <v>1456.9</v>
      </c>
    </row>
    <row r="73" spans="1:6" x14ac:dyDescent="0.35">
      <c r="A73" s="4" t="s">
        <v>224</v>
      </c>
      <c r="B73" s="13" t="s">
        <v>225</v>
      </c>
      <c r="C73" s="15" t="str">
        <f t="shared" si="1"/>
        <v>Rabia Chaudhry</v>
      </c>
      <c r="D73" s="17">
        <v>0.15</v>
      </c>
      <c r="E73" s="15">
        <f>IFERROR(IF(Raw_Data!N69="", 0, IF(Raw_Data!N69&gt;1, Raw_Data!N69/100, Raw_Data!N69)), 0)</f>
        <v>0.15</v>
      </c>
      <c r="F73" s="15">
        <f>IFERROR(VALUE(Raw_Data!O69), Raw_Data!L69*Raw_Data!M69)</f>
        <v>5839.96</v>
      </c>
    </row>
    <row r="74" spans="1:6" x14ac:dyDescent="0.35">
      <c r="A74" s="4" t="s">
        <v>226</v>
      </c>
      <c r="B74" s="13" t="s">
        <v>227</v>
      </c>
      <c r="C74" s="15" t="str">
        <f t="shared" si="1"/>
        <v>Omar Qureshi</v>
      </c>
      <c r="D74" s="17">
        <v>0.1</v>
      </c>
      <c r="E74" s="15">
        <f>IFERROR(IF(Raw_Data!N70="", 0, IF(Raw_Data!N70&gt;1, Raw_Data!N70/100, Raw_Data!N70)), 0)</f>
        <v>0.1</v>
      </c>
      <c r="F74" s="15">
        <f>IFERROR(VALUE(Raw_Data!O70), Raw_Data!L70*Raw_Data!M70)</f>
        <v>1729.06</v>
      </c>
    </row>
    <row r="75" spans="1:6" x14ac:dyDescent="0.35">
      <c r="A75" s="4" t="s">
        <v>228</v>
      </c>
      <c r="B75" s="13" t="s">
        <v>229</v>
      </c>
      <c r="C75" s="15" t="str">
        <f t="shared" si="1"/>
        <v>Ahmed Ansari</v>
      </c>
      <c r="D75" s="17">
        <v>0.3</v>
      </c>
      <c r="E75" s="15">
        <f>IFERROR(IF(Raw_Data!N71="", 0, IF(Raw_Data!N71&gt;1, Raw_Data!N71/100, Raw_Data!N71)), 0)</f>
        <v>0.3</v>
      </c>
      <c r="F75" s="15">
        <f>IFERROR(VALUE(Raw_Data!O71), Raw_Data!L71*Raw_Data!M71)</f>
        <v>1105.74</v>
      </c>
    </row>
    <row r="76" spans="1:6" x14ac:dyDescent="0.35">
      <c r="A76" s="4" t="s">
        <v>230</v>
      </c>
      <c r="B76" s="13" t="s">
        <v>231</v>
      </c>
      <c r="C76" s="15" t="str">
        <f t="shared" si="1"/>
        <v>Fatima Malik</v>
      </c>
      <c r="D76" s="17">
        <v>0.3</v>
      </c>
      <c r="E76" s="15">
        <f>IFERROR(IF(Raw_Data!N72="", 0, IF(Raw_Data!N72&gt;1, Raw_Data!N72/100, Raw_Data!N72)), 0)</f>
        <v>0.3</v>
      </c>
      <c r="F76" s="15">
        <f>IFERROR(VALUE(Raw_Data!O72), Raw_Data!L72*Raw_Data!M72)</f>
        <v>2268.21</v>
      </c>
    </row>
    <row r="77" spans="1:6" x14ac:dyDescent="0.35">
      <c r="A77" s="4" t="s">
        <v>232</v>
      </c>
      <c r="B77" s="13" t="s">
        <v>233</v>
      </c>
      <c r="C77" s="15" t="str">
        <f t="shared" si="1"/>
        <v>Omar Sheikh</v>
      </c>
      <c r="D77" s="17">
        <v>0</v>
      </c>
      <c r="E77" s="15">
        <f>IFERROR(IF(Raw_Data!N73="", 0, IF(Raw_Data!N73&gt;1, Raw_Data!N73/100, Raw_Data!N73)), 0)</f>
        <v>0</v>
      </c>
      <c r="F77" s="15">
        <f>IFERROR(VALUE(Raw_Data!O73), Raw_Data!L73*Raw_Data!M73)</f>
        <v>4369.05</v>
      </c>
    </row>
    <row r="78" spans="1:6" x14ac:dyDescent="0.35">
      <c r="A78" s="4" t="s">
        <v>235</v>
      </c>
      <c r="B78" s="13" t="s">
        <v>233</v>
      </c>
      <c r="C78" s="15" t="str">
        <f t="shared" si="1"/>
        <v>Omar Sheikh</v>
      </c>
      <c r="D78" s="17">
        <v>0</v>
      </c>
      <c r="E78" s="15">
        <f>IFERROR(IF(Raw_Data!N74="", 0, IF(Raw_Data!N74&gt;1, Raw_Data!N74/100, Raw_Data!N74)), 0)</f>
        <v>0</v>
      </c>
      <c r="F78" s="15">
        <f>IFERROR(VALUE(Raw_Data!O74), Raw_Data!L74*Raw_Data!M74)</f>
        <v>713.04</v>
      </c>
    </row>
    <row r="79" spans="1:6" x14ac:dyDescent="0.35">
      <c r="A79" s="4" t="s">
        <v>236</v>
      </c>
      <c r="B79" s="13" t="s">
        <v>237</v>
      </c>
      <c r="C79" s="15" t="str">
        <f t="shared" si="1"/>
        <v>Hina Farooq</v>
      </c>
      <c r="D79" s="17">
        <v>0</v>
      </c>
      <c r="E79" s="15">
        <f>IFERROR(IF(Raw_Data!N75="", 0, IF(Raw_Data!N75&gt;1, Raw_Data!N75/100, Raw_Data!N75)), 0)</f>
        <v>0</v>
      </c>
      <c r="F79" s="15">
        <f>IFERROR(VALUE(Raw_Data!O75), Raw_Data!L75*Raw_Data!M75)</f>
        <v>1515.24</v>
      </c>
    </row>
    <row r="80" spans="1:6" x14ac:dyDescent="0.35">
      <c r="A80" s="4" t="s">
        <v>238</v>
      </c>
      <c r="B80" s="13" t="s">
        <v>239</v>
      </c>
      <c r="C80" s="15" t="str">
        <f t="shared" si="1"/>
        <v>Sana Farooq</v>
      </c>
      <c r="D80" s="17">
        <v>0.15</v>
      </c>
      <c r="E80" s="15">
        <f>IFERROR(IF(Raw_Data!N76="", 0, IF(Raw_Data!N76&gt;1, Raw_Data!N76/100, Raw_Data!N76)), 0)</f>
        <v>0.15</v>
      </c>
      <c r="F80" s="15">
        <f>IFERROR(VALUE(Raw_Data!O76), Raw_Data!L76*Raw_Data!M76)</f>
        <v>673.11</v>
      </c>
    </row>
    <row r="81" spans="1:6" x14ac:dyDescent="0.35">
      <c r="A81" s="4" t="s">
        <v>240</v>
      </c>
      <c r="B81" s="13" t="s">
        <v>241</v>
      </c>
      <c r="C81" s="15" t="str">
        <f t="shared" si="1"/>
        <v>Usman Sheikh</v>
      </c>
      <c r="D81" s="17">
        <v>0</v>
      </c>
      <c r="E81" s="15">
        <f>IFERROR(IF(Raw_Data!N77="", 0, IF(Raw_Data!N77&gt;1, Raw_Data!N77/100, Raw_Data!N77)), 0)</f>
        <v>0</v>
      </c>
      <c r="F81" s="15">
        <f>IFERROR(VALUE(Raw_Data!O77), Raw_Data!L77*Raw_Data!M77)</f>
        <v>1620.64</v>
      </c>
    </row>
    <row r="82" spans="1:6" x14ac:dyDescent="0.35">
      <c r="A82" s="4" t="s">
        <v>242</v>
      </c>
      <c r="B82" s="13" t="s">
        <v>243</v>
      </c>
      <c r="C82" s="15" t="str">
        <f t="shared" si="1"/>
        <v>Zara Khan</v>
      </c>
      <c r="D82" s="17">
        <v>0.2</v>
      </c>
      <c r="E82" s="15">
        <f>IFERROR(IF(Raw_Data!N78="", 0, IF(Raw_Data!N78&gt;1, Raw_Data!N78/100, Raw_Data!N78)), 0)</f>
        <v>0.2</v>
      </c>
      <c r="F82" s="15">
        <f>IFERROR(VALUE(Raw_Data!O78), Raw_Data!L78*Raw_Data!M78)</f>
        <v>8072.16</v>
      </c>
    </row>
    <row r="83" spans="1:6" x14ac:dyDescent="0.35">
      <c r="A83" s="4" t="s">
        <v>244</v>
      </c>
      <c r="B83" s="13" t="s">
        <v>135</v>
      </c>
      <c r="C83" s="15" t="str">
        <f t="shared" si="1"/>
        <v>Adeel Malik</v>
      </c>
      <c r="D83" s="17">
        <v>0.2</v>
      </c>
      <c r="E83" s="15">
        <f>IFERROR(IF(Raw_Data!N79="", 0, IF(Raw_Data!N79&gt;1, Raw_Data!N79/100, Raw_Data!N79)), 0)</f>
        <v>0.2</v>
      </c>
      <c r="F83" s="15">
        <f>IFERROR(VALUE(Raw_Data!O79), Raw_Data!L79*Raw_Data!M79)</f>
        <v>2526.1999999999998</v>
      </c>
    </row>
    <row r="84" spans="1:6" x14ac:dyDescent="0.35">
      <c r="A84" s="4" t="s">
        <v>245</v>
      </c>
      <c r="B84" s="13" t="s">
        <v>193</v>
      </c>
      <c r="C84" s="15" t="str">
        <f t="shared" si="1"/>
        <v>Sana Butt</v>
      </c>
      <c r="D84" s="17">
        <v>0</v>
      </c>
      <c r="E84" s="15">
        <f>IFERROR(IF(Raw_Data!N80="", 0, IF(Raw_Data!N80&gt;1, Raw_Data!N80/100, Raw_Data!N80)), 0)</f>
        <v>0</v>
      </c>
      <c r="F84" s="15">
        <f>IFERROR(VALUE(Raw_Data!O80), Raw_Data!L80*Raw_Data!M80)</f>
        <v>1879.57</v>
      </c>
    </row>
    <row r="85" spans="1:6" x14ac:dyDescent="0.35">
      <c r="A85" s="4" t="s">
        <v>246</v>
      </c>
      <c r="B85" s="13" t="s">
        <v>197</v>
      </c>
      <c r="C85" s="15" t="str">
        <f t="shared" si="1"/>
        <v>Imran Chaudhry</v>
      </c>
      <c r="D85" s="17">
        <v>0.15</v>
      </c>
      <c r="E85" s="15">
        <f>IFERROR(IF(Raw_Data!N81="", 0, IF(Raw_Data!N81&gt;1, Raw_Data!N81/100, Raw_Data!N81)), 0)</f>
        <v>0.15</v>
      </c>
      <c r="F85" s="15">
        <f>IFERROR(VALUE(Raw_Data!O81), Raw_Data!L81*Raw_Data!M81)</f>
        <v>763.76</v>
      </c>
    </row>
    <row r="86" spans="1:6" x14ac:dyDescent="0.35">
      <c r="A86" s="4" t="s">
        <v>248</v>
      </c>
      <c r="B86" s="13" t="s">
        <v>442</v>
      </c>
      <c r="C86" s="15" t="str">
        <f t="shared" si="1"/>
        <v>Kamran Iqbal</v>
      </c>
      <c r="D86" s="17">
        <v>0.15</v>
      </c>
      <c r="E86" s="15">
        <f>IFERROR(IF(Raw_Data!N82="", 0, IF(Raw_Data!N82&gt;1, Raw_Data!N82/100, Raw_Data!N82)), 0)</f>
        <v>0.15</v>
      </c>
      <c r="F86" s="15">
        <f>IFERROR(VALUE(Raw_Data!O82), Raw_Data!L82*Raw_Data!M82)</f>
        <v>2057.4</v>
      </c>
    </row>
    <row r="87" spans="1:6" x14ac:dyDescent="0.35">
      <c r="A87" s="4" t="s">
        <v>250</v>
      </c>
      <c r="B87" s="13" t="s">
        <v>251</v>
      </c>
      <c r="C87" s="15" t="str">
        <f t="shared" si="1"/>
        <v>Hina Qureshi</v>
      </c>
      <c r="D87" s="17">
        <v>0</v>
      </c>
      <c r="E87" s="15">
        <f>IFERROR(IF(Raw_Data!N83="", 0, IF(Raw_Data!N83&gt;1, Raw_Data!N83/100, Raw_Data!N83)), 0)</f>
        <v>0</v>
      </c>
      <c r="F87" s="15">
        <f>IFERROR(VALUE(Raw_Data!O83), Raw_Data!L83*Raw_Data!M83)</f>
        <v>3629.76</v>
      </c>
    </row>
    <row r="88" spans="1:6" x14ac:dyDescent="0.35">
      <c r="A88" s="4" t="s">
        <v>252</v>
      </c>
      <c r="B88" s="13" t="s">
        <v>184</v>
      </c>
      <c r="C88" s="15" t="str">
        <f t="shared" si="1"/>
        <v>Imran Ansari</v>
      </c>
      <c r="D88" s="17">
        <v>0</v>
      </c>
      <c r="E88" s="15">
        <f>IFERROR(IF(Raw_Data!N84="", 0, IF(Raw_Data!N84&gt;1, Raw_Data!N84/100, Raw_Data!N84)), 0)</f>
        <v>0</v>
      </c>
      <c r="F88" s="15">
        <f>IFERROR(VALUE(Raw_Data!O84), Raw_Data!L84*Raw_Data!M84)</f>
        <v>3597.39</v>
      </c>
    </row>
    <row r="89" spans="1:6" x14ac:dyDescent="0.35">
      <c r="A89" s="4" t="s">
        <v>254</v>
      </c>
      <c r="B89" s="13" t="s">
        <v>255</v>
      </c>
      <c r="C89" s="15" t="str">
        <f t="shared" si="1"/>
        <v>Tariq Ansari</v>
      </c>
      <c r="D89" s="17">
        <v>0</v>
      </c>
      <c r="E89" s="15">
        <f>IFERROR(IF(Raw_Data!N85="", 0, IF(Raw_Data!N85&gt;1, Raw_Data!N85/100, Raw_Data!N85)), 0)</f>
        <v>0</v>
      </c>
      <c r="F89" s="15">
        <f>IFERROR(VALUE(Raw_Data!O85), Raw_Data!L85*Raw_Data!M85)</f>
        <v>595.20000000000005</v>
      </c>
    </row>
    <row r="90" spans="1:6" x14ac:dyDescent="0.35">
      <c r="A90" s="4" t="s">
        <v>256</v>
      </c>
      <c r="B90" s="13" t="s">
        <v>257</v>
      </c>
      <c r="C90" s="15" t="str">
        <f t="shared" si="1"/>
        <v>Ayesha Raza</v>
      </c>
      <c r="D90" s="17">
        <v>10</v>
      </c>
      <c r="E90" s="15">
        <f>IFERROR(IF(Raw_Data!N86="", 0, IF(Raw_Data!N86&gt;1, Raw_Data!N86/100, Raw_Data!N86)), 0)</f>
        <v>0.1</v>
      </c>
      <c r="F90" s="15">
        <f>IFERROR(VALUE(Raw_Data!O86), Raw_Data!L86*Raw_Data!M86)</f>
        <v>4359.51</v>
      </c>
    </row>
    <row r="91" spans="1:6" x14ac:dyDescent="0.35">
      <c r="A91" s="4" t="s">
        <v>258</v>
      </c>
      <c r="B91" s="13" t="s">
        <v>631</v>
      </c>
      <c r="C91" s="15" t="str">
        <f t="shared" si="1"/>
        <v>Tariq Khan</v>
      </c>
      <c r="D91" s="17">
        <v>0.3</v>
      </c>
      <c r="E91" s="15">
        <f>IFERROR(IF(Raw_Data!N87="", 0, IF(Raw_Data!N87&gt;1, Raw_Data!N87/100, Raw_Data!N87)), 0)</f>
        <v>0.3</v>
      </c>
      <c r="F91" s="15">
        <f>IFERROR(VALUE(Raw_Data!O87), Raw_Data!L87*Raw_Data!M87)</f>
        <v>776.16</v>
      </c>
    </row>
    <row r="92" spans="1:6" x14ac:dyDescent="0.35">
      <c r="A92" s="4" t="s">
        <v>260</v>
      </c>
      <c r="B92" s="13" t="s">
        <v>261</v>
      </c>
      <c r="C92" s="15" t="str">
        <f t="shared" si="1"/>
        <v>Mahnoor Malik</v>
      </c>
      <c r="D92" s="17">
        <v>0.3</v>
      </c>
      <c r="E92" s="15">
        <f>IFERROR(IF(Raw_Data!N88="", 0, IF(Raw_Data!N88&gt;1, Raw_Data!N88/100, Raw_Data!N88)), 0)</f>
        <v>0.3</v>
      </c>
      <c r="F92" s="15">
        <f>IFERROR(VALUE(Raw_Data!O88), Raw_Data!L88*Raw_Data!M88)</f>
        <v>6036.08</v>
      </c>
    </row>
    <row r="93" spans="1:6" x14ac:dyDescent="0.35">
      <c r="A93" s="4" t="s">
        <v>262</v>
      </c>
      <c r="B93" s="13" t="s">
        <v>263</v>
      </c>
      <c r="C93" s="15" t="str">
        <f t="shared" si="1"/>
        <v>Ayesha Qureshi</v>
      </c>
      <c r="D93" s="17">
        <v>0</v>
      </c>
      <c r="E93" s="15">
        <f>IFERROR(IF(Raw_Data!N89="", 0, IF(Raw_Data!N89&gt;1, Raw_Data!N89/100, Raw_Data!N89)), 0)</f>
        <v>0</v>
      </c>
      <c r="F93" s="15">
        <f>IFERROR(VALUE(Raw_Data!O89), Raw_Data!L89*Raw_Data!M89)</f>
        <v>602.23</v>
      </c>
    </row>
    <row r="94" spans="1:6" x14ac:dyDescent="0.35">
      <c r="A94" s="4" t="s">
        <v>264</v>
      </c>
      <c r="B94" s="13" t="s">
        <v>265</v>
      </c>
      <c r="C94" s="15" t="str">
        <f t="shared" si="1"/>
        <v>Kamran Sheikh</v>
      </c>
      <c r="D94" s="17">
        <v>0.2</v>
      </c>
      <c r="E94" s="15">
        <f>IFERROR(IF(Raw_Data!N90="", 0, IF(Raw_Data!N90&gt;1, Raw_Data!N90/100, Raw_Data!N90)), 0)</f>
        <v>0.2</v>
      </c>
      <c r="F94" s="15">
        <f>IFERROR(VALUE(Raw_Data!O90), Raw_Data!L90*Raw_Data!M90)</f>
        <v>3778.3</v>
      </c>
    </row>
    <row r="95" spans="1:6" x14ac:dyDescent="0.35">
      <c r="A95" s="4" t="s">
        <v>266</v>
      </c>
      <c r="B95" s="13" t="s">
        <v>267</v>
      </c>
      <c r="C95" s="15" t="str">
        <f t="shared" si="1"/>
        <v>Nida Chaudhry</v>
      </c>
      <c r="D95" s="17">
        <v>0.2</v>
      </c>
      <c r="E95" s="15">
        <f>IFERROR(IF(Raw_Data!N91="", 0, IF(Raw_Data!N91&gt;1, Raw_Data!N91/100, Raw_Data!N91)), 0)</f>
        <v>0.2</v>
      </c>
      <c r="F95" s="15">
        <f>IFERROR(VALUE(Raw_Data!O91), Raw_Data!L91*Raw_Data!M91)</f>
        <v>511.51</v>
      </c>
    </row>
    <row r="96" spans="1:6" x14ac:dyDescent="0.35">
      <c r="A96" s="4" t="s">
        <v>268</v>
      </c>
      <c r="B96" s="13" t="s">
        <v>269</v>
      </c>
      <c r="C96" s="15" t="str">
        <f t="shared" si="1"/>
        <v>Imran Khan</v>
      </c>
      <c r="D96" s="17">
        <v>0.2</v>
      </c>
      <c r="E96" s="15">
        <f>IFERROR(IF(Raw_Data!N92="", 0, IF(Raw_Data!N92&gt;1, Raw_Data!N92/100, Raw_Data!N92)), 0)</f>
        <v>0.2</v>
      </c>
      <c r="F96" s="15">
        <f>IFERROR(VALUE(Raw_Data!O92), Raw_Data!L92*Raw_Data!M92)</f>
        <v>1977.4</v>
      </c>
    </row>
    <row r="97" spans="1:6" x14ac:dyDescent="0.35">
      <c r="A97" s="4" t="s">
        <v>270</v>
      </c>
      <c r="B97" s="13" t="s">
        <v>81</v>
      </c>
      <c r="C97" s="15" t="str">
        <f t="shared" si="1"/>
        <v>Zara Butt</v>
      </c>
      <c r="D97" s="17">
        <v>0</v>
      </c>
      <c r="E97" s="15">
        <f>IFERROR(IF(Raw_Data!N93="", 0, IF(Raw_Data!N93&gt;1, Raw_Data!N93/100, Raw_Data!N93)), 0)</f>
        <v>0</v>
      </c>
      <c r="F97" s="15">
        <f>IFERROR(VALUE(Raw_Data!O93), Raw_Data!L93*Raw_Data!M93)</f>
        <v>2603.92</v>
      </c>
    </row>
    <row r="98" spans="1:6" x14ac:dyDescent="0.35">
      <c r="A98" s="4" t="s">
        <v>271</v>
      </c>
      <c r="B98" s="13" t="s">
        <v>272</v>
      </c>
      <c r="C98" s="15" t="str">
        <f t="shared" si="1"/>
        <v>Imran Raza</v>
      </c>
      <c r="D98" s="17">
        <v>0.2</v>
      </c>
      <c r="E98" s="15">
        <f>IFERROR(IF(Raw_Data!N94="", 0, IF(Raw_Data!N94&gt;1, Raw_Data!N94/100, Raw_Data!N94)), 0)</f>
        <v>0.2</v>
      </c>
      <c r="F98" s="15">
        <f>IFERROR(VALUE(Raw_Data!O94), Raw_Data!L94*Raw_Data!M94)</f>
        <v>4209.3900000000003</v>
      </c>
    </row>
    <row r="99" spans="1:6" x14ac:dyDescent="0.35">
      <c r="A99" s="4" t="s">
        <v>273</v>
      </c>
      <c r="B99" s="13" t="s">
        <v>274</v>
      </c>
      <c r="C99" s="15" t="str">
        <f t="shared" si="1"/>
        <v>Mahnoor Butt</v>
      </c>
      <c r="D99" s="17">
        <v>0</v>
      </c>
      <c r="E99" s="15">
        <f>IFERROR(IF(Raw_Data!N95="", 0, IF(Raw_Data!N95&gt;1, Raw_Data!N95/100, Raw_Data!N95)), 0)</f>
        <v>0</v>
      </c>
      <c r="F99" s="15">
        <f>IFERROR(VALUE(Raw_Data!O95), Raw_Data!L95*Raw_Data!M95)</f>
        <v>8815.68</v>
      </c>
    </row>
    <row r="100" spans="1:6" x14ac:dyDescent="0.35">
      <c r="A100" s="4" t="s">
        <v>275</v>
      </c>
      <c r="B100" s="13" t="s">
        <v>276</v>
      </c>
      <c r="C100" s="15" t="str">
        <f t="shared" si="1"/>
        <v>Faisal Malik</v>
      </c>
      <c r="D100" s="17">
        <v>0.15</v>
      </c>
      <c r="E100" s="15">
        <f>IFERROR(IF(Raw_Data!N96="", 0, IF(Raw_Data!N96&gt;1, Raw_Data!N96/100, Raw_Data!N96)), 0)</f>
        <v>0.15</v>
      </c>
      <c r="F100" s="15">
        <f>IFERROR(VALUE(Raw_Data!O96), Raw_Data!L96*Raw_Data!M96)</f>
        <v>4771.76</v>
      </c>
    </row>
    <row r="101" spans="1:6" x14ac:dyDescent="0.35">
      <c r="A101" s="4" t="s">
        <v>277</v>
      </c>
      <c r="B101" s="13" t="s">
        <v>93</v>
      </c>
      <c r="C101" s="15" t="str">
        <f t="shared" si="1"/>
        <v>Fatima Qureshi</v>
      </c>
      <c r="D101" s="17">
        <v>0.3</v>
      </c>
      <c r="E101" s="15">
        <f>IFERROR(IF(Raw_Data!N97="", 0, IF(Raw_Data!N97&gt;1, Raw_Data!N97/100, Raw_Data!N97)), 0)</f>
        <v>0.3</v>
      </c>
      <c r="F101" s="15">
        <f>IFERROR(VALUE(Raw_Data!O97), Raw_Data!L97*Raw_Data!M97)</f>
        <v>1494.27</v>
      </c>
    </row>
    <row r="102" spans="1:6" x14ac:dyDescent="0.35">
      <c r="A102" s="4" t="s">
        <v>278</v>
      </c>
      <c r="B102" s="13" t="s">
        <v>279</v>
      </c>
      <c r="C102" s="15" t="str">
        <f t="shared" si="1"/>
        <v>Sana Malik</v>
      </c>
      <c r="D102" s="17">
        <v>0.1</v>
      </c>
      <c r="E102" s="15">
        <f>IFERROR(IF(Raw_Data!N98="", 0, IF(Raw_Data!N98&gt;1, Raw_Data!N98/100, Raw_Data!N98)), 0)</f>
        <v>0.1</v>
      </c>
      <c r="F102" s="15">
        <f>IFERROR(VALUE(Raw_Data!O98), Raw_Data!L98*Raw_Data!M98)</f>
        <v>8247.4699999999993</v>
      </c>
    </row>
    <row r="103" spans="1:6" x14ac:dyDescent="0.35">
      <c r="A103" s="4" t="s">
        <v>280</v>
      </c>
      <c r="B103" s="13" t="s">
        <v>281</v>
      </c>
      <c r="C103" s="15" t="str">
        <f t="shared" si="1"/>
        <v>Ayesha Sheikh</v>
      </c>
      <c r="D103" s="17">
        <v>0</v>
      </c>
      <c r="E103" s="15">
        <f>IFERROR(IF(Raw_Data!N99="", 0, IF(Raw_Data!N99&gt;1, Raw_Data!N99/100, Raw_Data!N99)), 0)</f>
        <v>0</v>
      </c>
      <c r="F103" s="15">
        <f>IFERROR(VALUE(Raw_Data!O99), Raw_Data!L99*Raw_Data!M99)</f>
        <v>2315.5500000000002</v>
      </c>
    </row>
    <row r="104" spans="1:6" x14ac:dyDescent="0.35">
      <c r="A104" s="4" t="s">
        <v>282</v>
      </c>
      <c r="B104" s="13" t="s">
        <v>283</v>
      </c>
      <c r="C104" s="15" t="str">
        <f t="shared" si="1"/>
        <v>Bilal Khan</v>
      </c>
      <c r="D104" s="17">
        <v>0.15</v>
      </c>
      <c r="E104" s="15">
        <f>IFERROR(IF(Raw_Data!N100="", 0, IF(Raw_Data!N100&gt;1, Raw_Data!N100/100, Raw_Data!N100)), 0)</f>
        <v>0.15</v>
      </c>
      <c r="F104" s="15">
        <f>IFERROR(VALUE(Raw_Data!O100), Raw_Data!L100*Raw_Data!M100)</f>
        <v>110.8</v>
      </c>
    </row>
    <row r="105" spans="1:6" x14ac:dyDescent="0.35">
      <c r="A105" s="4" t="s">
        <v>284</v>
      </c>
      <c r="B105" s="13" t="s">
        <v>285</v>
      </c>
      <c r="C105" s="15" t="str">
        <f t="shared" si="1"/>
        <v>Adeel Chaudhry</v>
      </c>
      <c r="D105" s="17">
        <v>0.2</v>
      </c>
      <c r="E105" s="15">
        <f>IFERROR(IF(Raw_Data!N101="", 0, IF(Raw_Data!N101&gt;1, Raw_Data!N101/100, Raw_Data!N101)), 0)</f>
        <v>0.2</v>
      </c>
      <c r="F105" s="15">
        <f>IFERROR(VALUE(Raw_Data!O101), Raw_Data!L101*Raw_Data!M101)</f>
        <v>1051.8900000000001</v>
      </c>
    </row>
    <row r="106" spans="1:6" x14ac:dyDescent="0.35">
      <c r="A106" s="4" t="s">
        <v>286</v>
      </c>
      <c r="B106" s="13" t="s">
        <v>287</v>
      </c>
      <c r="C106" s="15" t="str">
        <f t="shared" si="1"/>
        <v>Fatima Chaudhry</v>
      </c>
      <c r="D106" s="17">
        <v>0.2</v>
      </c>
      <c r="E106" s="15">
        <f>IFERROR(IF(Raw_Data!N102="", 0, IF(Raw_Data!N102&gt;1, Raw_Data!N102/100, Raw_Data!N102)), 0)</f>
        <v>0.2</v>
      </c>
      <c r="F106" s="15">
        <f>IFERROR(VALUE(Raw_Data!O102), Raw_Data!L102*Raw_Data!M102)</f>
        <v>1310.4000000000001</v>
      </c>
    </row>
    <row r="107" spans="1:6" x14ac:dyDescent="0.35">
      <c r="A107" s="4" t="s">
        <v>290</v>
      </c>
      <c r="B107" s="13" t="s">
        <v>291</v>
      </c>
      <c r="C107" s="15" t="str">
        <f t="shared" si="1"/>
        <v>Nida Farooq</v>
      </c>
      <c r="D107" s="17">
        <v>0.15</v>
      </c>
      <c r="E107" s="15">
        <f>IFERROR(IF(Raw_Data!N103="", 0, IF(Raw_Data!N103&gt;1, Raw_Data!N103/100, Raw_Data!N103)), 0)</f>
        <v>0.15</v>
      </c>
      <c r="F107" s="15">
        <f>IFERROR(VALUE(Raw_Data!O103), Raw_Data!L103*Raw_Data!M103)</f>
        <v>2074.77</v>
      </c>
    </row>
    <row r="108" spans="1:6" x14ac:dyDescent="0.35">
      <c r="A108" s="4" t="s">
        <v>292</v>
      </c>
      <c r="B108" s="13" t="s">
        <v>293</v>
      </c>
      <c r="C108" s="15" t="str">
        <f t="shared" si="1"/>
        <v>Ahmed Raza</v>
      </c>
      <c r="D108" s="17">
        <v>0</v>
      </c>
      <c r="E108" s="15">
        <f>IFERROR(IF(Raw_Data!N104="", 0, IF(Raw_Data!N104&gt;1, Raw_Data!N104/100, Raw_Data!N104)), 0)</f>
        <v>0</v>
      </c>
      <c r="F108" s="15">
        <f>IFERROR(VALUE(Raw_Data!O104), Raw_Data!L104*Raw_Data!M104)</f>
        <v>177.12</v>
      </c>
    </row>
    <row r="109" spans="1:6" x14ac:dyDescent="0.35">
      <c r="A109" s="4" t="s">
        <v>294</v>
      </c>
      <c r="B109" s="13" t="s">
        <v>295</v>
      </c>
      <c r="C109" s="15" t="str">
        <f t="shared" si="1"/>
        <v>Rabia Butt</v>
      </c>
      <c r="D109" s="17">
        <v>0.3</v>
      </c>
      <c r="E109" s="15">
        <f>IFERROR(IF(Raw_Data!N105="", 0, IF(Raw_Data!N105&gt;1, Raw_Data!N105/100, Raw_Data!N105)), 0)</f>
        <v>0.3</v>
      </c>
      <c r="F109" s="15">
        <f>IFERROR(VALUE(Raw_Data!O105), Raw_Data!L105*Raw_Data!M105)</f>
        <v>216.84</v>
      </c>
    </row>
    <row r="110" spans="1:6" x14ac:dyDescent="0.35">
      <c r="A110" s="4" t="s">
        <v>296</v>
      </c>
      <c r="B110" s="13" t="s">
        <v>297</v>
      </c>
      <c r="C110" s="15" t="str">
        <f t="shared" si="1"/>
        <v>Kamran Malik</v>
      </c>
      <c r="D110" s="17">
        <v>0.3</v>
      </c>
      <c r="E110" s="15">
        <f>IFERROR(IF(Raw_Data!N106="", 0, IF(Raw_Data!N106&gt;1, Raw_Data!N106/100, Raw_Data!N106)), 0)</f>
        <v>0.3</v>
      </c>
      <c r="F110" s="15">
        <f>IFERROR(VALUE(Raw_Data!O106), Raw_Data!L106*Raw_Data!M106)</f>
        <v>3337.3</v>
      </c>
    </row>
    <row r="111" spans="1:6" x14ac:dyDescent="0.35">
      <c r="A111" s="4" t="s">
        <v>298</v>
      </c>
      <c r="B111" s="13" t="s">
        <v>299</v>
      </c>
      <c r="C111" s="15" t="str">
        <f t="shared" si="1"/>
        <v>Adeel Farooq</v>
      </c>
      <c r="D111" s="17">
        <v>0.1</v>
      </c>
      <c r="E111" s="15">
        <f>IFERROR(IF(Raw_Data!N107="", 0, IF(Raw_Data!N107&gt;1, Raw_Data!N107/100, Raw_Data!N107)), 0)</f>
        <v>0.1</v>
      </c>
      <c r="F111" s="15">
        <f>IFERROR(VALUE(Raw_Data!O107), Raw_Data!L107*Raw_Data!M107)</f>
        <v>208.44</v>
      </c>
    </row>
    <row r="112" spans="1:6" x14ac:dyDescent="0.35">
      <c r="A112" s="4" t="s">
        <v>300</v>
      </c>
      <c r="B112" s="13" t="s">
        <v>301</v>
      </c>
      <c r="C112" s="15" t="str">
        <f t="shared" si="1"/>
        <v>Sara Malik</v>
      </c>
      <c r="D112" s="17">
        <v>0</v>
      </c>
      <c r="E112" s="15">
        <f>IFERROR(IF(Raw_Data!N108="", 0, IF(Raw_Data!N108&gt;1, Raw_Data!N108/100, Raw_Data!N108)), 0)</f>
        <v>0</v>
      </c>
      <c r="F112" s="15">
        <f>IFERROR(VALUE(Raw_Data!O108), Raw_Data!L108*Raw_Data!M108)</f>
        <v>4224.2</v>
      </c>
    </row>
    <row r="113" spans="1:6" x14ac:dyDescent="0.35">
      <c r="A113" s="4" t="s">
        <v>302</v>
      </c>
      <c r="B113" s="13" t="s">
        <v>303</v>
      </c>
      <c r="C113" s="15" t="str">
        <f t="shared" si="1"/>
        <v>Faisal Sheikh</v>
      </c>
      <c r="D113" s="17">
        <v>0.2</v>
      </c>
      <c r="E113" s="15">
        <f>IFERROR(IF(Raw_Data!N109="", 0, IF(Raw_Data!N109&gt;1, Raw_Data!N109/100, Raw_Data!N109)), 0)</f>
        <v>0.2</v>
      </c>
      <c r="F113" s="15">
        <f>IFERROR(VALUE(Raw_Data!O109), Raw_Data!L109*Raw_Data!M109)</f>
        <v>2431.41</v>
      </c>
    </row>
    <row r="114" spans="1:6" x14ac:dyDescent="0.35">
      <c r="A114" s="4" t="s">
        <v>304</v>
      </c>
      <c r="B114" s="13" t="s">
        <v>305</v>
      </c>
      <c r="C114" s="15" t="str">
        <f t="shared" si="1"/>
        <v>Omar Iqbal</v>
      </c>
      <c r="D114" s="17">
        <v>0.2</v>
      </c>
      <c r="E114" s="15">
        <f>IFERROR(IF(Raw_Data!N110="", 0, IF(Raw_Data!N110&gt;1, Raw_Data!N110/100, Raw_Data!N110)), 0)</f>
        <v>0.2</v>
      </c>
      <c r="F114" s="15">
        <f>IFERROR(VALUE(Raw_Data!O110), Raw_Data!L110*Raw_Data!M110)</f>
        <v>1649.92</v>
      </c>
    </row>
    <row r="115" spans="1:6" x14ac:dyDescent="0.35">
      <c r="A115" s="4" t="s">
        <v>307</v>
      </c>
      <c r="B115" s="13" t="s">
        <v>204</v>
      </c>
      <c r="C115" s="15" t="str">
        <f t="shared" si="1"/>
        <v>Faisal Farooq</v>
      </c>
      <c r="D115" s="17">
        <v>0.1</v>
      </c>
      <c r="E115" s="15">
        <f>IFERROR(IF(Raw_Data!N111="", 0, IF(Raw_Data!N111&gt;1, Raw_Data!N111/100, Raw_Data!N111)), 0)</f>
        <v>0.1</v>
      </c>
      <c r="F115" s="15">
        <f>IFERROR(VALUE(Raw_Data!O111), Raw_Data!L111*Raw_Data!M111)</f>
        <v>1017.3</v>
      </c>
    </row>
    <row r="116" spans="1:6" x14ac:dyDescent="0.35">
      <c r="A116" s="4" t="s">
        <v>308</v>
      </c>
      <c r="B116" s="13" t="s">
        <v>274</v>
      </c>
      <c r="C116" s="15" t="str">
        <f t="shared" si="1"/>
        <v>Mahnoor Butt</v>
      </c>
      <c r="D116" s="17">
        <v>0.2</v>
      </c>
      <c r="E116" s="15">
        <f>IFERROR(IF(Raw_Data!N112="", 0, IF(Raw_Data!N112&gt;1, Raw_Data!N112/100, Raw_Data!N112)), 0)</f>
        <v>0.2</v>
      </c>
      <c r="F116" s="15">
        <f>IFERROR(VALUE(Raw_Data!O112), Raw_Data!L112*Raw_Data!M112)</f>
        <v>4116.12</v>
      </c>
    </row>
    <row r="117" spans="1:6" x14ac:dyDescent="0.35">
      <c r="A117" s="4" t="s">
        <v>309</v>
      </c>
      <c r="B117" s="13" t="s">
        <v>310</v>
      </c>
      <c r="C117" s="15" t="str">
        <f t="shared" si="1"/>
        <v>Omar Malik</v>
      </c>
      <c r="D117" s="17">
        <v>0</v>
      </c>
      <c r="E117" s="15">
        <f>IFERROR(IF(Raw_Data!N113="", 0, IF(Raw_Data!N113&gt;1, Raw_Data!N113/100, Raw_Data!N113)), 0)</f>
        <v>0</v>
      </c>
      <c r="F117" s="15">
        <f>IFERROR(VALUE(Raw_Data!O113), Raw_Data!L113*Raw_Data!M113)</f>
        <v>6211.04</v>
      </c>
    </row>
    <row r="118" spans="1:6" x14ac:dyDescent="0.35">
      <c r="A118" s="4" t="s">
        <v>311</v>
      </c>
      <c r="B118" s="13" t="s">
        <v>312</v>
      </c>
      <c r="C118" s="15" t="str">
        <f t="shared" si="1"/>
        <v>Usman Chaudhry</v>
      </c>
      <c r="D118" s="17">
        <v>0</v>
      </c>
      <c r="E118" s="15">
        <f>IFERROR(IF(Raw_Data!N114="", 0, IF(Raw_Data!N114&gt;1, Raw_Data!N114/100, Raw_Data!N114)), 0)</f>
        <v>0</v>
      </c>
      <c r="F118" s="15">
        <f>IFERROR(VALUE(Raw_Data!O114), Raw_Data!L114*Raw_Data!M114)</f>
        <v>5295.7</v>
      </c>
    </row>
    <row r="119" spans="1:6" x14ac:dyDescent="0.35">
      <c r="A119" s="4" t="s">
        <v>313</v>
      </c>
      <c r="B119" s="13" t="s">
        <v>314</v>
      </c>
      <c r="C119" s="15" t="str">
        <f t="shared" si="1"/>
        <v>Sara Butt</v>
      </c>
      <c r="D119" s="17">
        <v>0</v>
      </c>
      <c r="E119" s="15">
        <f>IFERROR(IF(Raw_Data!N115="", 0, IF(Raw_Data!N115&gt;1, Raw_Data!N115/100, Raw_Data!N115)), 0)</f>
        <v>0</v>
      </c>
      <c r="F119" s="15">
        <f>IFERROR(VALUE(Raw_Data!O115), Raw_Data!L115*Raw_Data!M115)</f>
        <v>616.20000000000005</v>
      </c>
    </row>
    <row r="120" spans="1:6" x14ac:dyDescent="0.35">
      <c r="A120" s="4" t="s">
        <v>315</v>
      </c>
      <c r="B120" s="13" t="s">
        <v>316</v>
      </c>
      <c r="C120" s="15" t="str">
        <f t="shared" si="1"/>
        <v>Ali Farooq</v>
      </c>
      <c r="D120" s="17">
        <v>0.15</v>
      </c>
      <c r="E120" s="15">
        <f>IFERROR(IF(Raw_Data!N116="", 0, IF(Raw_Data!N116&gt;1, Raw_Data!N116/100, Raw_Data!N116)), 0)</f>
        <v>0.15</v>
      </c>
      <c r="F120" s="15">
        <f>IFERROR(VALUE(Raw_Data!O116), Raw_Data!L116*Raw_Data!M116)</f>
        <v>4506.18</v>
      </c>
    </row>
    <row r="121" spans="1:6" x14ac:dyDescent="0.35">
      <c r="A121" s="4" t="s">
        <v>317</v>
      </c>
      <c r="B121" s="13" t="s">
        <v>207</v>
      </c>
      <c r="C121" s="15" t="str">
        <f t="shared" si="1"/>
        <v>Kamran Butt</v>
      </c>
      <c r="D121" s="17">
        <v>0.15</v>
      </c>
      <c r="E121" s="15">
        <f>IFERROR(IF(Raw_Data!N117="", 0, IF(Raw_Data!N117&gt;1, Raw_Data!N117/100, Raw_Data!N117)), 0)</f>
        <v>0.15</v>
      </c>
      <c r="F121" s="15">
        <f>IFERROR(VALUE(Raw_Data!O117), Raw_Data!L117*Raw_Data!M117)</f>
        <v>7725.42</v>
      </c>
    </row>
    <row r="122" spans="1:6" x14ac:dyDescent="0.35">
      <c r="A122" s="4" t="s">
        <v>318</v>
      </c>
      <c r="B122" s="13" t="s">
        <v>319</v>
      </c>
      <c r="C122" s="15" t="str">
        <f t="shared" si="1"/>
        <v>Sana Raza</v>
      </c>
      <c r="D122" s="17">
        <v>0</v>
      </c>
      <c r="E122" s="15">
        <f>IFERROR(IF(Raw_Data!N118="", 0, IF(Raw_Data!N118&gt;1, Raw_Data!N118/100, Raw_Data!N118)), 0)</f>
        <v>0</v>
      </c>
      <c r="F122" s="15">
        <f>IFERROR(VALUE(Raw_Data!O118), Raw_Data!L118*Raw_Data!M118)</f>
        <v>355.71</v>
      </c>
    </row>
    <row r="123" spans="1:6" x14ac:dyDescent="0.35">
      <c r="A123" s="4" t="s">
        <v>320</v>
      </c>
      <c r="B123" s="13" t="s">
        <v>312</v>
      </c>
      <c r="C123" s="15" t="str">
        <f t="shared" si="1"/>
        <v>Usman Chaudhry</v>
      </c>
      <c r="D123" s="17">
        <v>0.3</v>
      </c>
      <c r="E123" s="15">
        <f>IFERROR(IF(Raw_Data!N119="", 0, IF(Raw_Data!N119&gt;1, Raw_Data!N119/100, Raw_Data!N119)), 0)</f>
        <v>0.3</v>
      </c>
      <c r="F123" s="15">
        <f>IFERROR(VALUE(Raw_Data!O119), Raw_Data!L119*Raw_Data!M119)</f>
        <v>5861.46</v>
      </c>
    </row>
    <row r="124" spans="1:6" x14ac:dyDescent="0.35">
      <c r="A124" s="4" t="s">
        <v>321</v>
      </c>
      <c r="B124" s="13" t="s">
        <v>322</v>
      </c>
      <c r="C124" s="15" t="str">
        <f t="shared" si="1"/>
        <v>Hassan Qureshi</v>
      </c>
      <c r="D124" s="17">
        <v>0.15</v>
      </c>
      <c r="E124" s="15">
        <f>IFERROR(IF(Raw_Data!N120="", 0, IF(Raw_Data!N120&gt;1, Raw_Data!N120/100, Raw_Data!N120)), 0)</f>
        <v>0.15</v>
      </c>
      <c r="F124" s="15">
        <f>IFERROR(VALUE(Raw_Data!O120), Raw_Data!L120*Raw_Data!M120)</f>
        <v>1601.93</v>
      </c>
    </row>
    <row r="125" spans="1:6" x14ac:dyDescent="0.35">
      <c r="A125" s="4" t="s">
        <v>323</v>
      </c>
      <c r="B125" s="13" t="s">
        <v>324</v>
      </c>
      <c r="C125" s="15" t="str">
        <f t="shared" si="1"/>
        <v>Hassan Butt</v>
      </c>
      <c r="D125" s="17">
        <v>0.1</v>
      </c>
      <c r="E125" s="15">
        <f>IFERROR(IF(Raw_Data!N121="", 0, IF(Raw_Data!N121&gt;1, Raw_Data!N121/100, Raw_Data!N121)), 0)</f>
        <v>0.1</v>
      </c>
      <c r="F125" s="15">
        <f>IFERROR(VALUE(Raw_Data!O121), Raw_Data!L121*Raw_Data!M121)</f>
        <v>7605.96</v>
      </c>
    </row>
    <row r="126" spans="1:6" x14ac:dyDescent="0.35">
      <c r="A126" s="4" t="s">
        <v>325</v>
      </c>
      <c r="B126" s="13" t="s">
        <v>326</v>
      </c>
      <c r="C126" s="15" t="str">
        <f t="shared" si="1"/>
        <v>Ali Raza</v>
      </c>
      <c r="D126" s="17">
        <v>0</v>
      </c>
      <c r="E126" s="15">
        <f>IFERROR(IF(Raw_Data!N122="", 0, IF(Raw_Data!N122&gt;1, Raw_Data!N122/100, Raw_Data!N122)), 0)</f>
        <v>0</v>
      </c>
      <c r="F126" s="15">
        <f>IFERROR(VALUE(Raw_Data!O122), Raw_Data!L122*Raw_Data!M122)</f>
        <v>519.84</v>
      </c>
    </row>
    <row r="127" spans="1:6" x14ac:dyDescent="0.35">
      <c r="A127" s="4" t="s">
        <v>327</v>
      </c>
      <c r="B127" s="13" t="s">
        <v>163</v>
      </c>
      <c r="C127" s="15" t="str">
        <f t="shared" si="1"/>
        <v>Bilal Butt</v>
      </c>
      <c r="D127" s="17">
        <v>0.2</v>
      </c>
      <c r="E127" s="15">
        <f>IFERROR(IF(Raw_Data!N123="", 0, IF(Raw_Data!N123&gt;1, Raw_Data!N123/100, Raw_Data!N123)), 0)</f>
        <v>0.2</v>
      </c>
      <c r="F127" s="15">
        <f>IFERROR(VALUE(Raw_Data!O123), Raw_Data!L123*Raw_Data!M123)</f>
        <v>987.57</v>
      </c>
    </row>
    <row r="128" spans="1:6" x14ac:dyDescent="0.35">
      <c r="A128" s="4" t="s">
        <v>328</v>
      </c>
      <c r="B128" s="13" t="s">
        <v>186</v>
      </c>
      <c r="C128" s="15" t="str">
        <f t="shared" si="1"/>
        <v>Ali Qureshi</v>
      </c>
      <c r="D128" s="17">
        <v>0.15</v>
      </c>
      <c r="E128" s="15">
        <f>IFERROR(IF(Raw_Data!N124="", 0, IF(Raw_Data!N124&gt;1, Raw_Data!N124/100, Raw_Data!N124)), 0)</f>
        <v>0.15</v>
      </c>
      <c r="F128" s="15">
        <f>IFERROR(VALUE(Raw_Data!O124), Raw_Data!L124*Raw_Data!M124)</f>
        <v>1093.5</v>
      </c>
    </row>
    <row r="129" spans="1:6" x14ac:dyDescent="0.35">
      <c r="A129" s="4" t="s">
        <v>329</v>
      </c>
      <c r="B129" s="13" t="s">
        <v>149</v>
      </c>
      <c r="C129" s="15" t="str">
        <f t="shared" si="1"/>
        <v>Usman Butt</v>
      </c>
      <c r="D129" s="17">
        <v>0.15</v>
      </c>
      <c r="E129" s="15">
        <f>IFERROR(IF(Raw_Data!N125="", 0, IF(Raw_Data!N125&gt;1, Raw_Data!N125/100, Raw_Data!N125)), 0)</f>
        <v>0.15</v>
      </c>
      <c r="F129" s="15">
        <f>IFERROR(VALUE(Raw_Data!O125), Raw_Data!L125*Raw_Data!M125)</f>
        <v>4833.3599999999997</v>
      </c>
    </row>
    <row r="130" spans="1:6" x14ac:dyDescent="0.35">
      <c r="A130" s="4" t="s">
        <v>330</v>
      </c>
      <c r="B130" s="13" t="s">
        <v>331</v>
      </c>
      <c r="C130" s="15" t="str">
        <f t="shared" si="1"/>
        <v>Faisal Ansari</v>
      </c>
      <c r="D130" s="17">
        <v>0</v>
      </c>
      <c r="E130" s="15">
        <f>IFERROR(IF(Raw_Data!N126="", 0, IF(Raw_Data!N126&gt;1, Raw_Data!N126/100, Raw_Data!N126)), 0)</f>
        <v>0</v>
      </c>
      <c r="F130" s="15">
        <f>IFERROR(VALUE(Raw_Data!O126), Raw_Data!L126*Raw_Data!M126)</f>
        <v>3555.2</v>
      </c>
    </row>
    <row r="131" spans="1:6" x14ac:dyDescent="0.35">
      <c r="A131" s="4" t="s">
        <v>333</v>
      </c>
      <c r="B131" s="13" t="s">
        <v>351</v>
      </c>
      <c r="C131" s="15" t="str">
        <f t="shared" si="1"/>
        <v>Ahmed Qureshi</v>
      </c>
      <c r="D131" s="17">
        <v>0</v>
      </c>
      <c r="E131" s="15">
        <f>IFERROR(IF(Raw_Data!N127="", 0, IF(Raw_Data!N127&gt;1, Raw_Data!N127/100, Raw_Data!N127)), 0)</f>
        <v>0</v>
      </c>
      <c r="F131" s="15">
        <f>IFERROR(VALUE(Raw_Data!O127), Raw_Data!L127*Raw_Data!M127)</f>
        <v>820.92</v>
      </c>
    </row>
    <row r="132" spans="1:6" x14ac:dyDescent="0.35">
      <c r="A132" s="4" t="s">
        <v>335</v>
      </c>
      <c r="B132" s="13" t="s">
        <v>135</v>
      </c>
      <c r="C132" s="15" t="str">
        <f t="shared" si="1"/>
        <v>Adeel Malik</v>
      </c>
      <c r="D132" s="17">
        <v>0.1</v>
      </c>
      <c r="E132" s="15">
        <f>IFERROR(IF(Raw_Data!N128="", 0, IF(Raw_Data!N128&gt;1, Raw_Data!N128/100, Raw_Data!N128)), 0)</f>
        <v>0.1</v>
      </c>
      <c r="F132" s="15">
        <f>IFERROR(VALUE(Raw_Data!O128), Raw_Data!L128*Raw_Data!M128)</f>
        <v>128.11000000000001</v>
      </c>
    </row>
    <row r="133" spans="1:6" x14ac:dyDescent="0.35">
      <c r="A133" s="4" t="s">
        <v>336</v>
      </c>
      <c r="B133" s="13" t="s">
        <v>337</v>
      </c>
      <c r="C133" s="15" t="str">
        <f t="shared" si="1"/>
        <v>Usman Ansari</v>
      </c>
      <c r="D133" s="17">
        <v>0.15</v>
      </c>
      <c r="E133" s="15">
        <f>IFERROR(IF(Raw_Data!N129="", 0, IF(Raw_Data!N129&gt;1, Raw_Data!N129/100, Raw_Data!N129)), 0)</f>
        <v>0.15</v>
      </c>
      <c r="F133" s="15">
        <f>IFERROR(VALUE(Raw_Data!O129), Raw_Data!L129*Raw_Data!M129)</f>
        <v>3361.71</v>
      </c>
    </row>
    <row r="134" spans="1:6" x14ac:dyDescent="0.35">
      <c r="A134" s="4" t="s">
        <v>338</v>
      </c>
      <c r="B134" s="13" t="s">
        <v>255</v>
      </c>
      <c r="C134" s="15" t="str">
        <f t="shared" si="1"/>
        <v>Tariq Ansari</v>
      </c>
      <c r="D134" s="17">
        <v>0</v>
      </c>
      <c r="E134" s="15">
        <f>IFERROR(IF(Raw_Data!N130="", 0, IF(Raw_Data!N130&gt;1, Raw_Data!N130/100, Raw_Data!N130)), 0)</f>
        <v>0</v>
      </c>
      <c r="F134" s="15">
        <f>IFERROR(VALUE(Raw_Data!O130), Raw_Data!L130*Raw_Data!M130)</f>
        <v>1416.5</v>
      </c>
    </row>
    <row r="135" spans="1:6" x14ac:dyDescent="0.35">
      <c r="A135" s="4" t="s">
        <v>339</v>
      </c>
      <c r="B135" s="13" t="s">
        <v>340</v>
      </c>
      <c r="C135" s="15" t="str">
        <f t="shared" ref="C135:C198" si="2">IF(OR(B135="",B135=0), "Unknown Customer", PROPER(TRIM(B135)))</f>
        <v>Rabia Qureshi</v>
      </c>
      <c r="D135" s="17">
        <v>0.2</v>
      </c>
      <c r="E135" s="15">
        <f>IFERROR(IF(Raw_Data!N131="", 0, IF(Raw_Data!N131&gt;1, Raw_Data!N131/100, Raw_Data!N131)), 0)</f>
        <v>0.2</v>
      </c>
      <c r="F135" s="15">
        <f>IFERROR(VALUE(Raw_Data!O131), Raw_Data!L131*Raw_Data!M131)</f>
        <v>656.32</v>
      </c>
    </row>
    <row r="136" spans="1:6" x14ac:dyDescent="0.35">
      <c r="A136" s="4" t="s">
        <v>341</v>
      </c>
      <c r="B136" s="13" t="s">
        <v>342</v>
      </c>
      <c r="C136" s="15" t="str">
        <f t="shared" si="2"/>
        <v>Hassan Chaudhry</v>
      </c>
      <c r="D136" s="17">
        <v>0.15</v>
      </c>
      <c r="E136" s="15">
        <f>IFERROR(IF(Raw_Data!N132="", 0, IF(Raw_Data!N132&gt;1, Raw_Data!N132/100, Raw_Data!N132)), 0)</f>
        <v>0.15</v>
      </c>
      <c r="F136" s="15">
        <f>IFERROR(VALUE(Raw_Data!O132), Raw_Data!L132*Raw_Data!M132)</f>
        <v>5453.46</v>
      </c>
    </row>
    <row r="137" spans="1:6" x14ac:dyDescent="0.35">
      <c r="A137" s="4" t="s">
        <v>343</v>
      </c>
      <c r="B137" s="13" t="s">
        <v>243</v>
      </c>
      <c r="C137" s="15" t="str">
        <f t="shared" si="2"/>
        <v>Zara Khan</v>
      </c>
      <c r="D137" s="17">
        <v>0.2</v>
      </c>
      <c r="E137" s="15">
        <f>IFERROR(IF(Raw_Data!N133="", 0, IF(Raw_Data!N133&gt;1, Raw_Data!N133/100, Raw_Data!N133)), 0)</f>
        <v>0.2</v>
      </c>
      <c r="F137" s="15">
        <f>IFERROR(VALUE(Raw_Data!O133), Raw_Data!L133*Raw_Data!M133)</f>
        <v>1647.2</v>
      </c>
    </row>
    <row r="138" spans="1:6" x14ac:dyDescent="0.35">
      <c r="A138" s="4" t="s">
        <v>344</v>
      </c>
      <c r="B138" s="13" t="s">
        <v>243</v>
      </c>
      <c r="C138" s="15" t="str">
        <f t="shared" si="2"/>
        <v>Zara Khan</v>
      </c>
      <c r="D138" s="17">
        <v>0</v>
      </c>
      <c r="E138" s="15">
        <f>IFERROR(IF(Raw_Data!N134="", 0, IF(Raw_Data!N134&gt;1, Raw_Data!N134/100, Raw_Data!N134)), 0)</f>
        <v>0</v>
      </c>
      <c r="F138" s="15">
        <f>IFERROR(VALUE(Raw_Data!O134), Raw_Data!L134*Raw_Data!M134)</f>
        <v>2400.2399999999998</v>
      </c>
    </row>
    <row r="139" spans="1:6" x14ac:dyDescent="0.35">
      <c r="A139" s="4" t="s">
        <v>345</v>
      </c>
      <c r="B139" s="13" t="s">
        <v>135</v>
      </c>
      <c r="C139" s="15" t="str">
        <f t="shared" si="2"/>
        <v>Adeel Malik</v>
      </c>
      <c r="D139" s="17">
        <v>0</v>
      </c>
      <c r="E139" s="15">
        <f>IFERROR(IF(Raw_Data!N135="", 0, IF(Raw_Data!N135&gt;1, Raw_Data!N135/100, Raw_Data!N135)), 0)</f>
        <v>0</v>
      </c>
      <c r="F139" s="15">
        <f>IFERROR(VALUE(Raw_Data!O135), Raw_Data!L135*Raw_Data!M135)</f>
        <v>7203.69</v>
      </c>
    </row>
    <row r="140" spans="1:6" ht="15" thickBot="1" x14ac:dyDescent="0.4">
      <c r="A140" s="6" t="s">
        <v>346</v>
      </c>
      <c r="B140" s="13" t="s">
        <v>26</v>
      </c>
      <c r="C140" s="15" t="str">
        <f t="shared" si="2"/>
        <v>Fatima Raza</v>
      </c>
      <c r="D140" s="17">
        <v>0.2</v>
      </c>
      <c r="E140" s="15">
        <f>IFERROR(IF(Raw_Data!N136="", 0, IF(Raw_Data!N136&gt;1, Raw_Data!N136/100, Raw_Data!N136)), 0)</f>
        <v>0.2</v>
      </c>
      <c r="F140" s="15">
        <f>IFERROR(VALUE(Raw_Data!O136), Raw_Data!L136*Raw_Data!M136)</f>
        <v>2577</v>
      </c>
    </row>
    <row r="141" spans="1:6" x14ac:dyDescent="0.35">
      <c r="B141" s="13">
        <v>0</v>
      </c>
      <c r="C141" s="15" t="str">
        <f t="shared" si="2"/>
        <v>Unknown Customer</v>
      </c>
      <c r="D141" s="17">
        <v>0</v>
      </c>
      <c r="E141" s="15">
        <f>IFERROR(IF(Raw_Data!N137="", 0, IF(Raw_Data!N137&gt;1, Raw_Data!N137/100, Raw_Data!N137)), 0)</f>
        <v>0</v>
      </c>
      <c r="F141" s="15">
        <f>IFERROR(VALUE(Raw_Data!O137), Raw_Data!L137*Raw_Data!M137)</f>
        <v>0</v>
      </c>
    </row>
    <row r="142" spans="1:6" x14ac:dyDescent="0.35">
      <c r="B142" s="13" t="s">
        <v>225</v>
      </c>
      <c r="C142" s="15" t="str">
        <f t="shared" si="2"/>
        <v>Rabia Chaudhry</v>
      </c>
      <c r="D142" s="17">
        <v>0</v>
      </c>
      <c r="E142" s="15">
        <f>IFERROR(IF(Raw_Data!N138="", 0, IF(Raw_Data!N138&gt;1, Raw_Data!N138/100, Raw_Data!N138)), 0)</f>
        <v>0</v>
      </c>
      <c r="F142" s="15">
        <f>IFERROR(VALUE(Raw_Data!O138), Raw_Data!L138*Raw_Data!M138)</f>
        <v>521.91999999999996</v>
      </c>
    </row>
    <row r="143" spans="1:6" x14ac:dyDescent="0.35">
      <c r="B143" s="13" t="s">
        <v>303</v>
      </c>
      <c r="C143" s="15" t="str">
        <f t="shared" si="2"/>
        <v>Faisal Sheikh</v>
      </c>
      <c r="D143" s="17">
        <v>0.15</v>
      </c>
      <c r="E143" s="15">
        <f>IFERROR(IF(Raw_Data!N139="", 0, IF(Raw_Data!N139&gt;1, Raw_Data!N139/100, Raw_Data!N139)), 0)</f>
        <v>0.15</v>
      </c>
      <c r="F143" s="15">
        <f>IFERROR(VALUE(Raw_Data!O139), Raw_Data!L139*Raw_Data!M139)</f>
        <v>245.9</v>
      </c>
    </row>
    <row r="144" spans="1:6" x14ac:dyDescent="0.35">
      <c r="B144" s="13" t="s">
        <v>351</v>
      </c>
      <c r="C144" s="15" t="str">
        <f t="shared" si="2"/>
        <v>Ahmed Qureshi</v>
      </c>
      <c r="D144" s="17">
        <v>0</v>
      </c>
      <c r="E144" s="15">
        <f>IFERROR(IF(Raw_Data!N140="", 0, IF(Raw_Data!N140&gt;1, Raw_Data!N140/100, Raw_Data!N140)), 0)</f>
        <v>0</v>
      </c>
      <c r="F144" s="15">
        <f>IFERROR(VALUE(Raw_Data!O140), Raw_Data!L140*Raw_Data!M140)</f>
        <v>345.56</v>
      </c>
    </row>
    <row r="145" spans="2:6" x14ac:dyDescent="0.35">
      <c r="B145" s="13" t="s">
        <v>186</v>
      </c>
      <c r="C145" s="15" t="str">
        <f t="shared" si="2"/>
        <v>Ali Qureshi</v>
      </c>
      <c r="D145" s="17">
        <v>0.3</v>
      </c>
      <c r="E145" s="15">
        <f>IFERROR(IF(Raw_Data!N141="", 0, IF(Raw_Data!N141&gt;1, Raw_Data!N141/100, Raw_Data!N141)), 0)</f>
        <v>0.3</v>
      </c>
      <c r="F145" s="15">
        <f>IFERROR(VALUE(Raw_Data!O141), Raw_Data!L141*Raw_Data!M141)</f>
        <v>1066.72</v>
      </c>
    </row>
    <row r="146" spans="2:6" x14ac:dyDescent="0.35">
      <c r="B146" s="13" t="s">
        <v>263</v>
      </c>
      <c r="C146" s="15" t="str">
        <f t="shared" si="2"/>
        <v>Ayesha Qureshi</v>
      </c>
      <c r="D146" s="17">
        <v>0</v>
      </c>
      <c r="E146" s="15">
        <f>IFERROR(IF(Raw_Data!N142="", 0, IF(Raw_Data!N142&gt;1, Raw_Data!N142/100, Raw_Data!N142)), 0)</f>
        <v>0</v>
      </c>
      <c r="F146" s="15">
        <f>IFERROR(VALUE(Raw_Data!O142), Raw_Data!L142*Raw_Data!M142)</f>
        <v>2123.6</v>
      </c>
    </row>
    <row r="147" spans="2:6" x14ac:dyDescent="0.35">
      <c r="B147" s="13" t="s">
        <v>355</v>
      </c>
      <c r="C147" s="15" t="str">
        <f t="shared" si="2"/>
        <v>Ayesha Butt</v>
      </c>
      <c r="D147" s="17">
        <v>0</v>
      </c>
      <c r="E147" s="15">
        <f>IFERROR(IF(Raw_Data!N143="", 0, IF(Raw_Data!N143&gt;1, Raw_Data!N143/100, Raw_Data!N143)), 0)</f>
        <v>0</v>
      </c>
      <c r="F147" s="15">
        <f>IFERROR(VALUE(Raw_Data!O143), Raw_Data!L143*Raw_Data!M143)</f>
        <v>1296.96</v>
      </c>
    </row>
    <row r="148" spans="2:6" x14ac:dyDescent="0.35">
      <c r="B148" s="13" t="s">
        <v>153</v>
      </c>
      <c r="C148" s="15" t="str">
        <f t="shared" si="2"/>
        <v>Tariq Butt</v>
      </c>
      <c r="D148" s="17">
        <v>0.15</v>
      </c>
      <c r="E148" s="15">
        <f>IFERROR(IF(Raw_Data!N144="", 0, IF(Raw_Data!N144&gt;1, Raw_Data!N144/100, Raw_Data!N144)), 0)</f>
        <v>0.15</v>
      </c>
      <c r="F148" s="15">
        <f>IFERROR(VALUE(Raw_Data!O144), Raw_Data!L144*Raw_Data!M144)</f>
        <v>2355.84</v>
      </c>
    </row>
    <row r="149" spans="2:6" x14ac:dyDescent="0.35">
      <c r="B149" s="13" t="s">
        <v>139</v>
      </c>
      <c r="C149" s="15" t="str">
        <f t="shared" si="2"/>
        <v>Tariq Malik</v>
      </c>
      <c r="D149" s="17">
        <v>0.15</v>
      </c>
      <c r="E149" s="15">
        <f>IFERROR(IF(Raw_Data!N145="", 0, IF(Raw_Data!N145&gt;1, Raw_Data!N145/100, Raw_Data!N145)), 0)</f>
        <v>0.15</v>
      </c>
      <c r="F149" s="15">
        <f>IFERROR(VALUE(Raw_Data!O145), Raw_Data!L145*Raw_Data!M145)</f>
        <v>5208.12</v>
      </c>
    </row>
    <row r="150" spans="2:6" x14ac:dyDescent="0.35">
      <c r="B150" s="13" t="s">
        <v>227</v>
      </c>
      <c r="C150" s="15" t="str">
        <f t="shared" si="2"/>
        <v>Omar Qureshi</v>
      </c>
      <c r="D150" s="17">
        <v>0</v>
      </c>
      <c r="E150" s="15">
        <f>IFERROR(IF(Raw_Data!N146="", 0, IF(Raw_Data!N146&gt;1, Raw_Data!N146/100, Raw_Data!N146)), 0)</f>
        <v>0</v>
      </c>
      <c r="F150" s="15">
        <f>IFERROR(VALUE(Raw_Data!O146), Raw_Data!L146*Raw_Data!M146)</f>
        <v>8912.4</v>
      </c>
    </row>
    <row r="151" spans="2:6" x14ac:dyDescent="0.35">
      <c r="B151" s="13" t="s">
        <v>360</v>
      </c>
      <c r="C151" s="15" t="str">
        <f t="shared" si="2"/>
        <v>Ali Iqbal</v>
      </c>
      <c r="D151" s="17">
        <v>0.1</v>
      </c>
      <c r="E151" s="15">
        <f>IFERROR(IF(Raw_Data!N147="", 0, IF(Raw_Data!N147&gt;1, Raw_Data!N147/100, Raw_Data!N147)), 0)</f>
        <v>0.1</v>
      </c>
      <c r="F151" s="15">
        <f>IFERROR(VALUE(Raw_Data!O147), Raw_Data!L147*Raw_Data!M147)</f>
        <v>4969.5</v>
      </c>
    </row>
    <row r="152" spans="2:6" x14ac:dyDescent="0.35">
      <c r="B152" s="13" t="s">
        <v>363</v>
      </c>
      <c r="C152" s="15" t="str">
        <f t="shared" si="2"/>
        <v>Bilal Iqbal</v>
      </c>
      <c r="D152" s="17">
        <v>0</v>
      </c>
      <c r="E152" s="15">
        <f>IFERROR(IF(Raw_Data!N148="", 0, IF(Raw_Data!N148&gt;1, Raw_Data!N148/100, Raw_Data!N148)), 0)</f>
        <v>0</v>
      </c>
      <c r="F152" s="15">
        <f>IFERROR(VALUE(Raw_Data!O148), Raw_Data!L148*Raw_Data!M148)</f>
        <v>827.31</v>
      </c>
    </row>
    <row r="153" spans="2:6" x14ac:dyDescent="0.35">
      <c r="B153" s="13" t="s">
        <v>151</v>
      </c>
      <c r="C153" s="15" t="str">
        <f t="shared" si="2"/>
        <v>Hina Butt</v>
      </c>
      <c r="D153" s="17">
        <v>0.1</v>
      </c>
      <c r="E153" s="15">
        <f>IFERROR(IF(Raw_Data!N149="", 0, IF(Raw_Data!N149&gt;1, Raw_Data!N149/100, Raw_Data!N149)), 0)</f>
        <v>0.1</v>
      </c>
      <c r="F153" s="15">
        <f>IFERROR(VALUE(Raw_Data!O149), Raw_Data!L149*Raw_Data!M149)</f>
        <v>8087.4</v>
      </c>
    </row>
    <row r="154" spans="2:6" x14ac:dyDescent="0.35">
      <c r="B154" s="13" t="s">
        <v>71</v>
      </c>
      <c r="C154" s="15" t="str">
        <f t="shared" si="2"/>
        <v>Nida Khan</v>
      </c>
      <c r="D154" s="17">
        <v>0.1</v>
      </c>
      <c r="E154" s="15">
        <f>IFERROR(IF(Raw_Data!N150="", 0, IF(Raw_Data!N150&gt;1, Raw_Data!N150/100, Raw_Data!N150)), 0)</f>
        <v>0.1</v>
      </c>
      <c r="F154" s="15">
        <f>IFERROR(VALUE(Raw_Data!O150), Raw_Data!L150*Raw_Data!M150)</f>
        <v>6631.2</v>
      </c>
    </row>
    <row r="155" spans="2:6" x14ac:dyDescent="0.35">
      <c r="B155" s="13" t="s">
        <v>243</v>
      </c>
      <c r="C155" s="15" t="str">
        <f t="shared" si="2"/>
        <v>Zara Khan</v>
      </c>
      <c r="D155" s="17">
        <v>0.3</v>
      </c>
      <c r="E155" s="15">
        <f>IFERROR(IF(Raw_Data!N151="", 0, IF(Raw_Data!N151&gt;1, Raw_Data!N151/100, Raw_Data!N151)), 0)</f>
        <v>0.3</v>
      </c>
      <c r="F155" s="15">
        <f>IFERROR(VALUE(Raw_Data!O151), Raw_Data!L151*Raw_Data!M151)</f>
        <v>2732.51</v>
      </c>
    </row>
    <row r="156" spans="2:6" x14ac:dyDescent="0.35">
      <c r="B156" s="13" t="s">
        <v>368</v>
      </c>
      <c r="C156" s="15" t="str">
        <f t="shared" si="2"/>
        <v>Hassan Khan</v>
      </c>
      <c r="D156" s="17">
        <v>0.15</v>
      </c>
      <c r="E156" s="15">
        <f>IFERROR(IF(Raw_Data!N152="", 0, IF(Raw_Data!N152&gt;1, Raw_Data!N152/100, Raw_Data!N152)), 0)</f>
        <v>0.15</v>
      </c>
      <c r="F156" s="15">
        <f>IFERROR(VALUE(Raw_Data!O152), Raw_Data!L152*Raw_Data!M152)</f>
        <v>3906.77</v>
      </c>
    </row>
    <row r="157" spans="2:6" x14ac:dyDescent="0.35">
      <c r="B157" s="13" t="s">
        <v>326</v>
      </c>
      <c r="C157" s="15" t="str">
        <f t="shared" si="2"/>
        <v>Ali Raza</v>
      </c>
      <c r="D157" s="17">
        <v>0.3</v>
      </c>
      <c r="E157" s="15">
        <f>IFERROR(IF(Raw_Data!N153="", 0, IF(Raw_Data!N153&gt;1, Raw_Data!N153/100, Raw_Data!N153)), 0)</f>
        <v>0.3</v>
      </c>
      <c r="F157" s="15">
        <f>IFERROR(VALUE(Raw_Data!O153), Raw_Data!L153*Raw_Data!M153)</f>
        <v>368.35</v>
      </c>
    </row>
    <row r="158" spans="2:6" x14ac:dyDescent="0.35">
      <c r="B158" s="13" t="s">
        <v>371</v>
      </c>
      <c r="C158" s="15" t="str">
        <f t="shared" si="2"/>
        <v>Imran Malik</v>
      </c>
      <c r="D158" s="17">
        <v>0.15</v>
      </c>
      <c r="E158" s="15">
        <f>IFERROR(IF(Raw_Data!N154="", 0, IF(Raw_Data!N154&gt;1, Raw_Data!N154/100, Raw_Data!N154)), 0)</f>
        <v>0.15</v>
      </c>
      <c r="F158" s="15">
        <f>IFERROR(VALUE(Raw_Data!O154), Raw_Data!L154*Raw_Data!M154)</f>
        <v>7905.12</v>
      </c>
    </row>
    <row r="159" spans="2:6" x14ac:dyDescent="0.35">
      <c r="B159" s="13" t="s">
        <v>373</v>
      </c>
      <c r="C159" s="15" t="str">
        <f t="shared" si="2"/>
        <v>Kamran Raza</v>
      </c>
      <c r="D159" s="17">
        <v>0.3</v>
      </c>
      <c r="E159" s="15">
        <f>IFERROR(IF(Raw_Data!N155="", 0, IF(Raw_Data!N155&gt;1, Raw_Data!N155/100, Raw_Data!N155)), 0)</f>
        <v>0.3</v>
      </c>
      <c r="F159" s="15">
        <f>IFERROR(VALUE(Raw_Data!O155), Raw_Data!L155*Raw_Data!M155)</f>
        <v>5204.32</v>
      </c>
    </row>
    <row r="160" spans="2:6" x14ac:dyDescent="0.35">
      <c r="B160" s="13" t="s">
        <v>375</v>
      </c>
      <c r="C160" s="15" t="str">
        <f t="shared" si="2"/>
        <v>Sara Raza</v>
      </c>
      <c r="D160" s="17">
        <v>0</v>
      </c>
      <c r="E160" s="15">
        <f>IFERROR(IF(Raw_Data!N156="", 0, IF(Raw_Data!N156&gt;1, Raw_Data!N156/100, Raw_Data!N156)), 0)</f>
        <v>0</v>
      </c>
      <c r="F160" s="15">
        <f>IFERROR(VALUE(Raw_Data!O156), Raw_Data!L156*Raw_Data!M156)</f>
        <v>493.69</v>
      </c>
    </row>
    <row r="161" spans="2:6" x14ac:dyDescent="0.35">
      <c r="B161" s="13" t="s">
        <v>295</v>
      </c>
      <c r="C161" s="15" t="str">
        <f t="shared" si="2"/>
        <v>Rabia Butt</v>
      </c>
      <c r="D161" s="17">
        <v>0.3</v>
      </c>
      <c r="E161" s="15">
        <f>IFERROR(IF(Raw_Data!N157="", 0, IF(Raw_Data!N157&gt;1, Raw_Data!N157/100, Raw_Data!N157)), 0)</f>
        <v>0.3</v>
      </c>
      <c r="F161" s="15">
        <f>IFERROR(VALUE(Raw_Data!O157), Raw_Data!L157*Raw_Data!M157)</f>
        <v>6187.5</v>
      </c>
    </row>
    <row r="162" spans="2:6" x14ac:dyDescent="0.35">
      <c r="B162" s="13" t="s">
        <v>331</v>
      </c>
      <c r="C162" s="15" t="str">
        <f t="shared" si="2"/>
        <v>Faisal Ansari</v>
      </c>
      <c r="D162" s="17">
        <v>0.3</v>
      </c>
      <c r="E162" s="15">
        <f>IFERROR(IF(Raw_Data!N158="", 0, IF(Raw_Data!N158&gt;1, Raw_Data!N158/100, Raw_Data!N158)), 0)</f>
        <v>0.3</v>
      </c>
      <c r="F162" s="15">
        <f>IFERROR(VALUE(Raw_Data!O158), Raw_Data!L158*Raw_Data!M158)</f>
        <v>7613.4</v>
      </c>
    </row>
    <row r="163" spans="2:6" x14ac:dyDescent="0.35">
      <c r="B163" s="13" t="s">
        <v>379</v>
      </c>
      <c r="C163" s="15" t="str">
        <f t="shared" si="2"/>
        <v>Nida Sheikh</v>
      </c>
      <c r="D163" s="17">
        <v>0.2</v>
      </c>
      <c r="E163" s="15">
        <f>IFERROR(IF(Raw_Data!N159="", 0, IF(Raw_Data!N159&gt;1, Raw_Data!N159/100, Raw_Data!N159)), 0)</f>
        <v>0.2</v>
      </c>
      <c r="F163" s="15">
        <f>IFERROR(VALUE(Raw_Data!O159), Raw_Data!L159*Raw_Data!M159)</f>
        <v>525.54</v>
      </c>
    </row>
    <row r="164" spans="2:6" x14ac:dyDescent="0.35">
      <c r="B164" s="13" t="s">
        <v>381</v>
      </c>
      <c r="C164" s="15" t="str">
        <f t="shared" si="2"/>
        <v>Usman Malik</v>
      </c>
      <c r="D164" s="17">
        <v>0</v>
      </c>
      <c r="E164" s="15">
        <f>IFERROR(IF(Raw_Data!N160="", 0, IF(Raw_Data!N160&gt;1, Raw_Data!N160/100, Raw_Data!N160)), 0)</f>
        <v>0</v>
      </c>
      <c r="F164" s="15">
        <f>IFERROR(VALUE(Raw_Data!O160), Raw_Data!L160*Raw_Data!M160)</f>
        <v>774.37</v>
      </c>
    </row>
    <row r="165" spans="2:6" x14ac:dyDescent="0.35">
      <c r="B165" s="13" t="s">
        <v>383</v>
      </c>
      <c r="C165" s="15" t="str">
        <f t="shared" si="2"/>
        <v>Omar Ansari</v>
      </c>
      <c r="D165" s="17">
        <v>0.3</v>
      </c>
      <c r="E165" s="15">
        <f>IFERROR(IF(Raw_Data!N161="", 0, IF(Raw_Data!N161&gt;1, Raw_Data!N161/100, Raw_Data!N161)), 0)</f>
        <v>0.3</v>
      </c>
      <c r="F165" s="15">
        <f>IFERROR(VALUE(Raw_Data!O161), Raw_Data!L161*Raw_Data!M161)</f>
        <v>1873.48</v>
      </c>
    </row>
    <row r="166" spans="2:6" x14ac:dyDescent="0.35">
      <c r="B166" s="13" t="s">
        <v>186</v>
      </c>
      <c r="C166" s="15" t="str">
        <f t="shared" si="2"/>
        <v>Ali Qureshi</v>
      </c>
      <c r="D166" s="17">
        <v>0.2</v>
      </c>
      <c r="E166" s="15">
        <f>IFERROR(IF(Raw_Data!N162="", 0, IF(Raw_Data!N162&gt;1, Raw_Data!N162/100, Raw_Data!N162)), 0)</f>
        <v>0.2</v>
      </c>
      <c r="F166" s="15">
        <f>IFERROR(VALUE(Raw_Data!O162), Raw_Data!L162*Raw_Data!M162)</f>
        <v>4173.1899999999996</v>
      </c>
    </row>
    <row r="167" spans="2:6" x14ac:dyDescent="0.35">
      <c r="B167" s="13" t="s">
        <v>386</v>
      </c>
      <c r="C167" s="15" t="str">
        <f t="shared" si="2"/>
        <v>Tariq Farooq</v>
      </c>
      <c r="D167" s="17">
        <v>0.3</v>
      </c>
      <c r="E167" s="15">
        <f>IFERROR(IF(Raw_Data!N163="", 0, IF(Raw_Data!N163&gt;1, Raw_Data!N163/100, Raw_Data!N163)), 0)</f>
        <v>0.3</v>
      </c>
      <c r="F167" s="15">
        <f>IFERROR(VALUE(Raw_Data!O163), Raw_Data!L163*Raw_Data!M163)</f>
        <v>791.22</v>
      </c>
    </row>
    <row r="168" spans="2:6" x14ac:dyDescent="0.35">
      <c r="B168" s="13" t="s">
        <v>342</v>
      </c>
      <c r="C168" s="15" t="str">
        <f t="shared" si="2"/>
        <v>Hassan Chaudhry</v>
      </c>
      <c r="D168" s="17">
        <v>0</v>
      </c>
      <c r="E168" s="15">
        <f>IFERROR(IF(Raw_Data!N164="", 0, IF(Raw_Data!N164&gt;1, Raw_Data!N164/100, Raw_Data!N164)), 0)</f>
        <v>0</v>
      </c>
      <c r="F168" s="15">
        <f>IFERROR(VALUE(Raw_Data!O164), Raw_Data!L164*Raw_Data!M164)</f>
        <v>2124.2399999999998</v>
      </c>
    </row>
    <row r="169" spans="2:6" x14ac:dyDescent="0.35">
      <c r="B169" s="13" t="s">
        <v>389</v>
      </c>
      <c r="C169" s="15" t="str">
        <f t="shared" si="2"/>
        <v>Ahmed Khan</v>
      </c>
      <c r="D169" s="17">
        <v>0.2</v>
      </c>
      <c r="E169" s="15">
        <f>IFERROR(IF(Raw_Data!N165="", 0, IF(Raw_Data!N165&gt;1, Raw_Data!N165/100, Raw_Data!N165)), 0)</f>
        <v>0.2</v>
      </c>
      <c r="F169" s="15">
        <f>IFERROR(VALUE(Raw_Data!O165), Raw_Data!L165*Raw_Data!M165)</f>
        <v>6371.53</v>
      </c>
    </row>
    <row r="170" spans="2:6" x14ac:dyDescent="0.35">
      <c r="B170" s="13" t="s">
        <v>231</v>
      </c>
      <c r="C170" s="15" t="str">
        <f t="shared" si="2"/>
        <v>Fatima Malik</v>
      </c>
      <c r="D170" s="17">
        <v>0</v>
      </c>
      <c r="E170" s="15">
        <f>IFERROR(IF(Raw_Data!N166="", 0, IF(Raw_Data!N166&gt;1, Raw_Data!N166/100, Raw_Data!N166)), 0)</f>
        <v>0</v>
      </c>
      <c r="F170" s="15">
        <f>IFERROR(VALUE(Raw_Data!O166), Raw_Data!L166*Raw_Data!M166)</f>
        <v>1189.58</v>
      </c>
    </row>
    <row r="171" spans="2:6" x14ac:dyDescent="0.35">
      <c r="B171" s="13" t="s">
        <v>272</v>
      </c>
      <c r="C171" s="15" t="str">
        <f t="shared" si="2"/>
        <v>Imran Raza</v>
      </c>
      <c r="D171" s="17">
        <v>0.15</v>
      </c>
      <c r="E171" s="15">
        <f>IFERROR(IF(Raw_Data!N167="", 0, IF(Raw_Data!N167&gt;1, Raw_Data!N167/100, Raw_Data!N167)), 0)</f>
        <v>0.15</v>
      </c>
      <c r="F171" s="15">
        <f>IFERROR(VALUE(Raw_Data!O167), Raw_Data!L167*Raw_Data!M167)</f>
        <v>2485</v>
      </c>
    </row>
    <row r="172" spans="2:6" x14ac:dyDescent="0.35">
      <c r="B172" s="13" t="s">
        <v>210</v>
      </c>
      <c r="C172" s="15" t="str">
        <f t="shared" si="2"/>
        <v>Imran Butt</v>
      </c>
      <c r="D172" s="17">
        <v>0.1</v>
      </c>
      <c r="E172" s="15">
        <f>IFERROR(IF(Raw_Data!N168="", 0, IF(Raw_Data!N168&gt;1, Raw_Data!N168/100, Raw_Data!N168)), 0)</f>
        <v>0.1</v>
      </c>
      <c r="F172" s="15">
        <f>IFERROR(VALUE(Raw_Data!O168), Raw_Data!L168*Raw_Data!M168)</f>
        <v>191.04</v>
      </c>
    </row>
    <row r="173" spans="2:6" x14ac:dyDescent="0.35">
      <c r="B173" s="13">
        <v>0</v>
      </c>
      <c r="C173" s="15" t="str">
        <f t="shared" si="2"/>
        <v>Unknown Customer</v>
      </c>
      <c r="D173" s="17">
        <v>0</v>
      </c>
      <c r="E173" s="15">
        <f>IFERROR(IF(Raw_Data!N169="", 0, IF(Raw_Data!N169&gt;1, Raw_Data!N169/100, Raw_Data!N169)), 0)</f>
        <v>0</v>
      </c>
      <c r="F173" s="15">
        <f>IFERROR(VALUE(Raw_Data!O169), Raw_Data!L169*Raw_Data!M169)</f>
        <v>5378.72</v>
      </c>
    </row>
    <row r="174" spans="2:6" x14ac:dyDescent="0.35">
      <c r="B174" s="13" t="s">
        <v>395</v>
      </c>
      <c r="C174" s="15" t="str">
        <f t="shared" si="2"/>
        <v>Usman Farooq</v>
      </c>
      <c r="D174" s="17">
        <v>0.3</v>
      </c>
      <c r="E174" s="15">
        <f>IFERROR(IF(Raw_Data!N170="", 0, IF(Raw_Data!N170&gt;1, Raw_Data!N170/100, Raw_Data!N170)), 0)</f>
        <v>0.3</v>
      </c>
      <c r="F174" s="15">
        <f>IFERROR(VALUE(Raw_Data!O170), Raw_Data!L170*Raw_Data!M170)</f>
        <v>2255.2199999999998</v>
      </c>
    </row>
    <row r="175" spans="2:6" x14ac:dyDescent="0.35">
      <c r="B175" s="13" t="s">
        <v>397</v>
      </c>
      <c r="C175" s="15" t="str">
        <f t="shared" si="2"/>
        <v>Rabia Khan</v>
      </c>
      <c r="D175" s="17">
        <v>0</v>
      </c>
      <c r="E175" s="15">
        <f>IFERROR(IF(Raw_Data!N171="", 0, IF(Raw_Data!N171&gt;1, Raw_Data!N171/100, Raw_Data!N171)), 0)</f>
        <v>0</v>
      </c>
      <c r="F175" s="15">
        <f>IFERROR(VALUE(Raw_Data!O171), Raw_Data!L171*Raw_Data!M171)</f>
        <v>8099.41</v>
      </c>
    </row>
    <row r="176" spans="2:6" x14ac:dyDescent="0.35">
      <c r="B176" s="13" t="s">
        <v>395</v>
      </c>
      <c r="C176" s="15" t="str">
        <f t="shared" si="2"/>
        <v>Usman Farooq</v>
      </c>
      <c r="D176" s="17">
        <v>0.2</v>
      </c>
      <c r="E176" s="15">
        <f>IFERROR(IF(Raw_Data!N172="", 0, IF(Raw_Data!N172&gt;1, Raw_Data!N172/100, Raw_Data!N172)), 0)</f>
        <v>0.2</v>
      </c>
      <c r="F176" s="15">
        <f>IFERROR(VALUE(Raw_Data!O172), Raw_Data!L172*Raw_Data!M172)</f>
        <v>5382.48</v>
      </c>
    </row>
    <row r="177" spans="2:6" x14ac:dyDescent="0.35">
      <c r="B177" s="13" t="s">
        <v>400</v>
      </c>
      <c r="C177" s="15" t="str">
        <f t="shared" si="2"/>
        <v>Sana Chaudhry</v>
      </c>
      <c r="D177" s="17">
        <v>0.2</v>
      </c>
      <c r="E177" s="15">
        <f>IFERROR(IF(Raw_Data!N173="", 0, IF(Raw_Data!N173&gt;1, Raw_Data!N173/100, Raw_Data!N173)), 0)</f>
        <v>0.2</v>
      </c>
      <c r="F177" s="15">
        <f>IFERROR(VALUE(Raw_Data!O173), Raw_Data!L173*Raw_Data!M173)</f>
        <v>475.09</v>
      </c>
    </row>
    <row r="178" spans="2:6" x14ac:dyDescent="0.35">
      <c r="B178" s="13" t="s">
        <v>85</v>
      </c>
      <c r="C178" s="15" t="str">
        <f t="shared" si="2"/>
        <v>Ahmed Malik</v>
      </c>
      <c r="D178" s="17">
        <v>0.2</v>
      </c>
      <c r="E178" s="15">
        <f>IFERROR(IF(Raw_Data!N174="", 0, IF(Raw_Data!N174&gt;1, Raw_Data!N174/100, Raw_Data!N174)), 0)</f>
        <v>0.2</v>
      </c>
      <c r="F178" s="15">
        <f>IFERROR(VALUE(Raw_Data!O174), Raw_Data!L174*Raw_Data!M174)</f>
        <v>915.66</v>
      </c>
    </row>
    <row r="179" spans="2:6" x14ac:dyDescent="0.35">
      <c r="B179" s="13" t="s">
        <v>403</v>
      </c>
      <c r="C179" s="15" t="str">
        <f t="shared" si="2"/>
        <v>Adeel Ansari</v>
      </c>
      <c r="D179" s="17">
        <v>0</v>
      </c>
      <c r="E179" s="15">
        <f>IFERROR(IF(Raw_Data!N175="", 0, IF(Raw_Data!N175&gt;1, Raw_Data!N175/100, Raw_Data!N175)), 0)</f>
        <v>0</v>
      </c>
      <c r="F179" s="15">
        <f>IFERROR(VALUE(Raw_Data!O175), Raw_Data!L175*Raw_Data!M175)</f>
        <v>6171.84</v>
      </c>
    </row>
    <row r="180" spans="2:6" x14ac:dyDescent="0.35">
      <c r="B180" s="13" t="s">
        <v>231</v>
      </c>
      <c r="C180" s="15" t="str">
        <f t="shared" si="2"/>
        <v>Fatima Malik</v>
      </c>
      <c r="D180" s="17">
        <v>0</v>
      </c>
      <c r="E180" s="15">
        <f>IFERROR(IF(Raw_Data!N176="", 0, IF(Raw_Data!N176&gt;1, Raw_Data!N176/100, Raw_Data!N176)), 0)</f>
        <v>0</v>
      </c>
      <c r="F180" s="15">
        <f>IFERROR(VALUE(Raw_Data!O176), Raw_Data!L176*Raw_Data!M176)</f>
        <v>6863.22</v>
      </c>
    </row>
    <row r="181" spans="2:6" x14ac:dyDescent="0.35">
      <c r="B181" s="13" t="s">
        <v>406</v>
      </c>
      <c r="C181" s="15" t="str">
        <f t="shared" si="2"/>
        <v>Ali Khan</v>
      </c>
      <c r="D181" s="17">
        <v>0.15</v>
      </c>
      <c r="E181" s="15">
        <f>IFERROR(IF(Raw_Data!N177="", 0, IF(Raw_Data!N177&gt;1, Raw_Data!N177/100, Raw_Data!N177)), 0)</f>
        <v>0.15</v>
      </c>
      <c r="F181" s="15">
        <f>IFERROR(VALUE(Raw_Data!O177), Raw_Data!L177*Raw_Data!M177)</f>
        <v>5291.68</v>
      </c>
    </row>
    <row r="182" spans="2:6" x14ac:dyDescent="0.35">
      <c r="B182" s="13" t="s">
        <v>408</v>
      </c>
      <c r="C182" s="15" t="str">
        <f t="shared" si="2"/>
        <v>Sara Iqbal</v>
      </c>
      <c r="D182" s="17">
        <v>0.2</v>
      </c>
      <c r="E182" s="15">
        <f>IFERROR(IF(Raw_Data!N178="", 0, IF(Raw_Data!N178&gt;1, Raw_Data!N178/100, Raw_Data!N178)), 0)</f>
        <v>0.2</v>
      </c>
      <c r="F182" s="15">
        <f>IFERROR(VALUE(Raw_Data!O178), Raw_Data!L178*Raw_Data!M178)</f>
        <v>2231.04</v>
      </c>
    </row>
    <row r="183" spans="2:6" x14ac:dyDescent="0.35">
      <c r="B183" s="13" t="s">
        <v>410</v>
      </c>
      <c r="C183" s="15" t="str">
        <f t="shared" si="2"/>
        <v>Hassan Farooq</v>
      </c>
      <c r="D183" s="17">
        <v>0</v>
      </c>
      <c r="E183" s="15">
        <f>IFERROR(IF(Raw_Data!N179="", 0, IF(Raw_Data!N179&gt;1, Raw_Data!N179/100, Raw_Data!N179)), 0)</f>
        <v>0</v>
      </c>
      <c r="F183" s="15">
        <f>IFERROR(VALUE(Raw_Data!O179), Raw_Data!L179*Raw_Data!M179)</f>
        <v>85.78</v>
      </c>
    </row>
    <row r="184" spans="2:6" x14ac:dyDescent="0.35">
      <c r="B184" s="13" t="s">
        <v>261</v>
      </c>
      <c r="C184" s="15" t="str">
        <f t="shared" si="2"/>
        <v>Mahnoor Malik</v>
      </c>
      <c r="D184" s="17">
        <v>0.15</v>
      </c>
      <c r="E184" s="15">
        <f>IFERROR(IF(Raw_Data!N180="", 0, IF(Raw_Data!N180&gt;1, Raw_Data!N180/100, Raw_Data!N180)), 0)</f>
        <v>0.15</v>
      </c>
      <c r="F184" s="15">
        <f>IFERROR(VALUE(Raw_Data!O180), Raw_Data!L180*Raw_Data!M180)</f>
        <v>3314.88</v>
      </c>
    </row>
    <row r="185" spans="2:6" x14ac:dyDescent="0.35">
      <c r="B185" s="13" t="s">
        <v>363</v>
      </c>
      <c r="C185" s="15" t="str">
        <f t="shared" si="2"/>
        <v>Bilal Iqbal</v>
      </c>
      <c r="D185" s="17">
        <v>0</v>
      </c>
      <c r="E185" s="15">
        <f>IFERROR(IF(Raw_Data!N181="", 0, IF(Raw_Data!N181&gt;1, Raw_Data!N181/100, Raw_Data!N181)), 0)</f>
        <v>0</v>
      </c>
      <c r="F185" s="15">
        <f>IFERROR(VALUE(Raw_Data!O181), Raw_Data!L181*Raw_Data!M181)</f>
        <v>3562.23</v>
      </c>
    </row>
    <row r="186" spans="2:6" x14ac:dyDescent="0.35">
      <c r="B186" s="13" t="s">
        <v>263</v>
      </c>
      <c r="C186" s="15" t="str">
        <f t="shared" si="2"/>
        <v>Ayesha Qureshi</v>
      </c>
      <c r="D186" s="17">
        <v>0.2</v>
      </c>
      <c r="E186" s="15">
        <f>IFERROR(IF(Raw_Data!N182="", 0, IF(Raw_Data!N182&gt;1, Raw_Data!N182/100, Raw_Data!N182)), 0)</f>
        <v>0.2</v>
      </c>
      <c r="F186" s="15">
        <f>IFERROR(VALUE(Raw_Data!O182), Raw_Data!L182*Raw_Data!M182)</f>
        <v>1045.92</v>
      </c>
    </row>
    <row r="187" spans="2:6" x14ac:dyDescent="0.35">
      <c r="B187" s="13" t="s">
        <v>415</v>
      </c>
      <c r="C187" s="15" t="str">
        <f t="shared" si="2"/>
        <v>Rabia Malik</v>
      </c>
      <c r="D187" s="17">
        <v>0</v>
      </c>
      <c r="E187" s="15">
        <f>IFERROR(IF(Raw_Data!N183="", 0, IF(Raw_Data!N183&gt;1, Raw_Data!N183/100, Raw_Data!N183)), 0)</f>
        <v>0</v>
      </c>
      <c r="F187" s="15">
        <f>IFERROR(VALUE(Raw_Data!O183), Raw_Data!L183*Raw_Data!M183)</f>
        <v>198.99</v>
      </c>
    </row>
    <row r="188" spans="2:6" x14ac:dyDescent="0.35">
      <c r="B188" s="13">
        <v>0</v>
      </c>
      <c r="C188" s="15" t="str">
        <f t="shared" si="2"/>
        <v>Unknown Customer</v>
      </c>
      <c r="D188" s="17">
        <v>0</v>
      </c>
      <c r="E188" s="15">
        <f>IFERROR(IF(Raw_Data!N184="", 0, IF(Raw_Data!N184&gt;1, Raw_Data!N184/100, Raw_Data!N184)), 0)</f>
        <v>0</v>
      </c>
      <c r="F188" s="15">
        <f>IFERROR(VALUE(Raw_Data!O184), Raw_Data!L184*Raw_Data!M184)</f>
        <v>1668.6</v>
      </c>
    </row>
    <row r="189" spans="2:6" x14ac:dyDescent="0.35">
      <c r="B189" s="13" t="s">
        <v>126</v>
      </c>
      <c r="C189" s="15" t="str">
        <f t="shared" si="2"/>
        <v>Ahmed Chaudhry</v>
      </c>
      <c r="D189" s="17">
        <v>0.15</v>
      </c>
      <c r="E189" s="15">
        <f>IFERROR(IF(Raw_Data!N185="", 0, IF(Raw_Data!N185&gt;1, Raw_Data!N185/100, Raw_Data!N185)), 0)</f>
        <v>0.15</v>
      </c>
      <c r="F189" s="15">
        <f>IFERROR(VALUE(Raw_Data!O185), Raw_Data!L185*Raw_Data!M185)</f>
        <v>2770.96</v>
      </c>
    </row>
    <row r="190" spans="2:6" x14ac:dyDescent="0.35">
      <c r="B190" s="13" t="s">
        <v>419</v>
      </c>
      <c r="C190" s="15" t="str">
        <f t="shared" si="2"/>
        <v>Nida Butt</v>
      </c>
      <c r="D190" s="17">
        <v>0.1</v>
      </c>
      <c r="E190" s="15">
        <f>IFERROR(IF(Raw_Data!N186="", 0, IF(Raw_Data!N186&gt;1, Raw_Data!N186/100, Raw_Data!N186)), 0)</f>
        <v>0.1</v>
      </c>
      <c r="F190" s="15">
        <f>IFERROR(VALUE(Raw_Data!O186), Raw_Data!L186*Raw_Data!M186)</f>
        <v>4233.04</v>
      </c>
    </row>
    <row r="191" spans="2:6" x14ac:dyDescent="0.35">
      <c r="B191" s="13" t="s">
        <v>322</v>
      </c>
      <c r="C191" s="15" t="str">
        <f t="shared" si="2"/>
        <v>Hassan Qureshi</v>
      </c>
      <c r="D191" s="17">
        <v>0.3</v>
      </c>
      <c r="E191" s="15">
        <f>IFERROR(IF(Raw_Data!N187="", 0, IF(Raw_Data!N187&gt;1, Raw_Data!N187/100, Raw_Data!N187)), 0)</f>
        <v>0.3</v>
      </c>
      <c r="F191" s="15">
        <f>IFERROR(VALUE(Raw_Data!O187), Raw_Data!L187*Raw_Data!M187)</f>
        <v>2784.78</v>
      </c>
    </row>
    <row r="192" spans="2:6" x14ac:dyDescent="0.35">
      <c r="B192" s="13" t="s">
        <v>422</v>
      </c>
      <c r="C192" s="15" t="str">
        <f t="shared" si="2"/>
        <v>Fatima Butt</v>
      </c>
      <c r="D192" s="17">
        <v>0</v>
      </c>
      <c r="E192" s="15">
        <f>IFERROR(IF(Raw_Data!N188="", 0, IF(Raw_Data!N188&gt;1, Raw_Data!N188/100, Raw_Data!N188)), 0)</f>
        <v>0</v>
      </c>
      <c r="F192" s="15">
        <f>IFERROR(VALUE(Raw_Data!O188), Raw_Data!L188*Raw_Data!M188)</f>
        <v>1753.44</v>
      </c>
    </row>
    <row r="193" spans="2:6" x14ac:dyDescent="0.35">
      <c r="B193" s="13" t="s">
        <v>424</v>
      </c>
      <c r="C193" s="15" t="str">
        <f t="shared" si="2"/>
        <v>Tariq Qureshi</v>
      </c>
      <c r="D193" s="17">
        <v>0.15</v>
      </c>
      <c r="E193" s="15">
        <f>IFERROR(IF(Raw_Data!N189="", 0, IF(Raw_Data!N189&gt;1, Raw_Data!N189/100, Raw_Data!N189)), 0)</f>
        <v>0.15</v>
      </c>
      <c r="F193" s="15">
        <f>IFERROR(VALUE(Raw_Data!O189), Raw_Data!L189*Raw_Data!M189)</f>
        <v>7201</v>
      </c>
    </row>
    <row r="194" spans="2:6" x14ac:dyDescent="0.35">
      <c r="B194" s="13" t="s">
        <v>225</v>
      </c>
      <c r="C194" s="15" t="str">
        <f t="shared" si="2"/>
        <v>Rabia Chaudhry</v>
      </c>
      <c r="D194" s="17">
        <v>0</v>
      </c>
      <c r="E194" s="15">
        <f>IFERROR(IF(Raw_Data!N190="", 0, IF(Raw_Data!N190&gt;1, Raw_Data!N190/100, Raw_Data!N190)), 0)</f>
        <v>0</v>
      </c>
      <c r="F194" s="15">
        <f>IFERROR(VALUE(Raw_Data!O190), Raw_Data!L190*Raw_Data!M190)</f>
        <v>1311.48</v>
      </c>
    </row>
    <row r="195" spans="2:6" x14ac:dyDescent="0.35">
      <c r="B195" s="13" t="s">
        <v>415</v>
      </c>
      <c r="C195" s="15" t="str">
        <f t="shared" si="2"/>
        <v>Rabia Malik</v>
      </c>
      <c r="D195" s="17">
        <v>0.15</v>
      </c>
      <c r="E195" s="15">
        <f>IFERROR(IF(Raw_Data!N191="", 0, IF(Raw_Data!N191&gt;1, Raw_Data!N191/100, Raw_Data!N191)), 0)</f>
        <v>0.15</v>
      </c>
      <c r="F195" s="15">
        <f>IFERROR(VALUE(Raw_Data!O191), Raw_Data!L191*Raw_Data!M191)</f>
        <v>1152.95</v>
      </c>
    </row>
    <row r="196" spans="2:6" x14ac:dyDescent="0.35">
      <c r="B196" s="13" t="s">
        <v>71</v>
      </c>
      <c r="C196" s="15" t="str">
        <f t="shared" si="2"/>
        <v>Nida Khan</v>
      </c>
      <c r="D196" s="17">
        <v>0</v>
      </c>
      <c r="E196" s="15">
        <f>IFERROR(IF(Raw_Data!N192="", 0, IF(Raw_Data!N192&gt;1, Raw_Data!N192/100, Raw_Data!N192)), 0)</f>
        <v>0</v>
      </c>
      <c r="F196" s="15">
        <f>IFERROR(VALUE(Raw_Data!O192), Raw_Data!L192*Raw_Data!M192)</f>
        <v>2265.1</v>
      </c>
    </row>
    <row r="197" spans="2:6" x14ac:dyDescent="0.35">
      <c r="B197" s="13" t="s">
        <v>135</v>
      </c>
      <c r="C197" s="15" t="str">
        <f t="shared" si="2"/>
        <v>Adeel Malik</v>
      </c>
      <c r="D197" s="17">
        <v>0</v>
      </c>
      <c r="E197" s="15">
        <f>IFERROR(IF(Raw_Data!N193="", 0, IF(Raw_Data!N193&gt;1, Raw_Data!N193/100, Raw_Data!N193)), 0)</f>
        <v>0</v>
      </c>
      <c r="F197" s="15">
        <f>IFERROR(VALUE(Raw_Data!O193), Raw_Data!L193*Raw_Data!M193)</f>
        <v>5162.24</v>
      </c>
    </row>
    <row r="198" spans="2:6" x14ac:dyDescent="0.35">
      <c r="B198" s="13" t="s">
        <v>131</v>
      </c>
      <c r="C198" s="15" t="str">
        <f t="shared" si="2"/>
        <v>Ahmed Iqbal</v>
      </c>
      <c r="D198" s="17">
        <v>0</v>
      </c>
      <c r="E198" s="15">
        <f>IFERROR(IF(Raw_Data!N194="", 0, IF(Raw_Data!N194&gt;1, Raw_Data!N194/100, Raw_Data!N194)), 0)</f>
        <v>0</v>
      </c>
      <c r="F198" s="15">
        <f>IFERROR(VALUE(Raw_Data!O194), Raw_Data!L194*Raw_Data!M194)</f>
        <v>2876.9</v>
      </c>
    </row>
    <row r="199" spans="2:6" x14ac:dyDescent="0.35">
      <c r="B199" s="13" t="s">
        <v>410</v>
      </c>
      <c r="C199" s="15" t="str">
        <f t="shared" ref="C199:C262" si="3">IF(OR(B199="",B199=0), "Unknown Customer", PROPER(TRIM(B199)))</f>
        <v>Hassan Farooq</v>
      </c>
      <c r="D199" s="17">
        <v>0</v>
      </c>
      <c r="E199" s="15">
        <f>IFERROR(IF(Raw_Data!N195="", 0, IF(Raw_Data!N195&gt;1, Raw_Data!N195/100, Raw_Data!N195)), 0)</f>
        <v>0</v>
      </c>
      <c r="F199" s="15">
        <f>IFERROR(VALUE(Raw_Data!O195), Raw_Data!L195*Raw_Data!M195)</f>
        <v>4055.52</v>
      </c>
    </row>
    <row r="200" spans="2:6" x14ac:dyDescent="0.35">
      <c r="B200" s="13" t="s">
        <v>360</v>
      </c>
      <c r="C200" s="15" t="str">
        <f t="shared" si="3"/>
        <v>Ali Iqbal</v>
      </c>
      <c r="D200" s="17">
        <v>0.15</v>
      </c>
      <c r="E200" s="15">
        <f>IFERROR(IF(Raw_Data!N196="", 0, IF(Raw_Data!N196&gt;1, Raw_Data!N196/100, Raw_Data!N196)), 0)</f>
        <v>0.15</v>
      </c>
      <c r="F200" s="15">
        <f>IFERROR(VALUE(Raw_Data!O196), Raw_Data!L196*Raw_Data!M196)</f>
        <v>2573.23</v>
      </c>
    </row>
    <row r="201" spans="2:6" x14ac:dyDescent="0.35">
      <c r="B201" s="13" t="s">
        <v>433</v>
      </c>
      <c r="C201" s="15" t="str">
        <f t="shared" si="3"/>
        <v>Rabia Ansari</v>
      </c>
      <c r="D201" s="17">
        <v>0.2</v>
      </c>
      <c r="E201" s="15">
        <f>IFERROR(IF(Raw_Data!N197="", 0, IF(Raw_Data!N197&gt;1, Raw_Data!N197/100, Raw_Data!N197)), 0)</f>
        <v>0.2</v>
      </c>
      <c r="F201" s="15">
        <f>IFERROR(VALUE(Raw_Data!O197), Raw_Data!L197*Raw_Data!M197)</f>
        <v>1268.8399999999999</v>
      </c>
    </row>
    <row r="202" spans="2:6" x14ac:dyDescent="0.35">
      <c r="B202" s="13" t="s">
        <v>435</v>
      </c>
      <c r="C202" s="15" t="str">
        <f t="shared" si="3"/>
        <v>Ali Chaudhry</v>
      </c>
      <c r="D202" s="17">
        <v>0.1</v>
      </c>
      <c r="E202" s="15">
        <f>IFERROR(IF(Raw_Data!N198="", 0, IF(Raw_Data!N198&gt;1, Raw_Data!N198/100, Raw_Data!N198)), 0)</f>
        <v>0.1</v>
      </c>
      <c r="F202" s="15">
        <f>IFERROR(VALUE(Raw_Data!O198), Raw_Data!L198*Raw_Data!M198)</f>
        <v>908.76</v>
      </c>
    </row>
    <row r="203" spans="2:6" x14ac:dyDescent="0.35">
      <c r="B203" s="13" t="s">
        <v>437</v>
      </c>
      <c r="C203" s="15" t="str">
        <f t="shared" si="3"/>
        <v>Bilal Raza</v>
      </c>
      <c r="D203" s="17">
        <v>0.1</v>
      </c>
      <c r="E203" s="15">
        <f>IFERROR(IF(Raw_Data!N199="", 0, IF(Raw_Data!N199&gt;1, Raw_Data!N199/100, Raw_Data!N199)), 0)</f>
        <v>0.1</v>
      </c>
      <c r="F203" s="15">
        <f>IFERROR(VALUE(Raw_Data!O199), Raw_Data!L199*Raw_Data!M199)</f>
        <v>10442.280000000001</v>
      </c>
    </row>
    <row r="204" spans="2:6" x14ac:dyDescent="0.35">
      <c r="B204" s="13" t="s">
        <v>163</v>
      </c>
      <c r="C204" s="15" t="str">
        <f t="shared" si="3"/>
        <v>Bilal Butt</v>
      </c>
      <c r="D204" s="17">
        <v>0</v>
      </c>
      <c r="E204" s="15">
        <f>IFERROR(IF(Raw_Data!N200="", 0, IF(Raw_Data!N200&gt;1, Raw_Data!N200/100, Raw_Data!N200)), 0)</f>
        <v>0</v>
      </c>
      <c r="F204" s="15">
        <f>IFERROR(VALUE(Raw_Data!O200), Raw_Data!L200*Raw_Data!M200)</f>
        <v>7621.8</v>
      </c>
    </row>
    <row r="205" spans="2:6" x14ac:dyDescent="0.35">
      <c r="B205" s="13" t="s">
        <v>213</v>
      </c>
      <c r="C205" s="15" t="str">
        <f t="shared" si="3"/>
        <v>Hina Iqbal</v>
      </c>
      <c r="D205" s="17">
        <v>0</v>
      </c>
      <c r="E205" s="15">
        <f>IFERROR(IF(Raw_Data!N201="", 0, IF(Raw_Data!N201&gt;1, Raw_Data!N201/100, Raw_Data!N201)), 0)</f>
        <v>0</v>
      </c>
      <c r="F205" s="15">
        <f>IFERROR(VALUE(Raw_Data!O201), Raw_Data!L201*Raw_Data!M201)</f>
        <v>4096.68</v>
      </c>
    </row>
    <row r="206" spans="2:6" x14ac:dyDescent="0.35">
      <c r="B206" s="13" t="s">
        <v>71</v>
      </c>
      <c r="C206" s="15" t="str">
        <f t="shared" si="3"/>
        <v>Nida Khan</v>
      </c>
      <c r="D206" s="17">
        <v>0</v>
      </c>
      <c r="E206" s="15">
        <f>IFERROR(IF(Raw_Data!N202="", 0, IF(Raw_Data!N202&gt;1, Raw_Data!N202/100, Raw_Data!N202)), 0)</f>
        <v>0</v>
      </c>
      <c r="F206" s="15">
        <f>IFERROR(VALUE(Raw_Data!O202), Raw_Data!L202*Raw_Data!M202)</f>
        <v>1200.93</v>
      </c>
    </row>
    <row r="207" spans="2:6" x14ac:dyDescent="0.35">
      <c r="B207" s="13" t="s">
        <v>442</v>
      </c>
      <c r="C207" s="15" t="str">
        <f t="shared" si="3"/>
        <v>Kamran Iqbal</v>
      </c>
      <c r="D207" s="17">
        <v>0</v>
      </c>
      <c r="E207" s="15">
        <f>IFERROR(IF(Raw_Data!N203="", 0, IF(Raw_Data!N203&gt;1, Raw_Data!N203/100, Raw_Data!N203)), 0)</f>
        <v>0</v>
      </c>
      <c r="F207" s="15">
        <f>IFERROR(VALUE(Raw_Data!O203), Raw_Data!L203*Raw_Data!M203)</f>
        <v>439.29</v>
      </c>
    </row>
    <row r="208" spans="2:6" x14ac:dyDescent="0.35">
      <c r="B208" s="13" t="s">
        <v>149</v>
      </c>
      <c r="C208" s="15" t="str">
        <f t="shared" si="3"/>
        <v>Usman Butt</v>
      </c>
      <c r="D208" s="17">
        <v>0</v>
      </c>
      <c r="E208" s="15">
        <f>IFERROR(IF(Raw_Data!N204="", 0, IF(Raw_Data!N204&gt;1, Raw_Data!N204/100, Raw_Data!N204)), 0)</f>
        <v>0</v>
      </c>
      <c r="F208" s="15">
        <f>IFERROR(VALUE(Raw_Data!O204), Raw_Data!L204*Raw_Data!M204)</f>
        <v>5598.3</v>
      </c>
    </row>
    <row r="209" spans="2:6" x14ac:dyDescent="0.35">
      <c r="B209" s="13" t="s">
        <v>445</v>
      </c>
      <c r="C209" s="15" t="str">
        <f t="shared" si="3"/>
        <v>Hassan Sheikh</v>
      </c>
      <c r="D209" s="17">
        <v>0.2</v>
      </c>
      <c r="E209" s="15">
        <f>IFERROR(IF(Raw_Data!N205="", 0, IF(Raw_Data!N205&gt;1, Raw_Data!N205/100, Raw_Data!N205)), 0)</f>
        <v>0.2</v>
      </c>
      <c r="F209" s="15">
        <f>IFERROR(VALUE(Raw_Data!O205), Raw_Data!L205*Raw_Data!M205)</f>
        <v>4961.25</v>
      </c>
    </row>
    <row r="210" spans="2:6" x14ac:dyDescent="0.35">
      <c r="B210" s="13" t="s">
        <v>447</v>
      </c>
      <c r="C210" s="15" t="str">
        <f t="shared" si="3"/>
        <v>Sana Iqbal</v>
      </c>
      <c r="D210" s="17">
        <v>0.15</v>
      </c>
      <c r="E210" s="15">
        <f>IFERROR(IF(Raw_Data!N206="", 0, IF(Raw_Data!N206&gt;1, Raw_Data!N206/100, Raw_Data!N206)), 0)</f>
        <v>0.15</v>
      </c>
      <c r="F210" s="15">
        <f>IFERROR(VALUE(Raw_Data!O206), Raw_Data!L206*Raw_Data!M206)</f>
        <v>2924.95</v>
      </c>
    </row>
    <row r="211" spans="2:6" x14ac:dyDescent="0.35">
      <c r="B211" s="13" t="s">
        <v>285</v>
      </c>
      <c r="C211" s="15" t="str">
        <f t="shared" si="3"/>
        <v>Adeel Chaudhry</v>
      </c>
      <c r="D211" s="17">
        <v>0.15</v>
      </c>
      <c r="E211" s="15">
        <f>IFERROR(IF(Raw_Data!N207="", 0, IF(Raw_Data!N207&gt;1, Raw_Data!N207/100, Raw_Data!N207)), 0)</f>
        <v>0.15</v>
      </c>
      <c r="F211" s="15">
        <f>IFERROR(VALUE(Raw_Data!O207), Raw_Data!L207*Raw_Data!M207)</f>
        <v>1101.8699999999999</v>
      </c>
    </row>
    <row r="212" spans="2:6" x14ac:dyDescent="0.35">
      <c r="B212" s="13" t="s">
        <v>450</v>
      </c>
      <c r="C212" s="15" t="str">
        <f t="shared" si="3"/>
        <v>Bilal Ansari</v>
      </c>
      <c r="D212" s="17">
        <v>0.15</v>
      </c>
      <c r="E212" s="15">
        <f>IFERROR(IF(Raw_Data!N208="", 0, IF(Raw_Data!N208&gt;1, Raw_Data!N208/100, Raw_Data!N208)), 0)</f>
        <v>0.15</v>
      </c>
      <c r="F212" s="15">
        <f>IFERROR(VALUE(Raw_Data!O208), Raw_Data!L208*Raw_Data!M208)</f>
        <v>1357.76</v>
      </c>
    </row>
    <row r="213" spans="2:6" x14ac:dyDescent="0.35">
      <c r="B213" s="13" t="s">
        <v>424</v>
      </c>
      <c r="C213" s="15" t="str">
        <f t="shared" si="3"/>
        <v>Tariq Qureshi</v>
      </c>
      <c r="D213" s="17">
        <v>0.2</v>
      </c>
      <c r="E213" s="15">
        <f>IFERROR(IF(Raw_Data!N209="", 0, IF(Raw_Data!N209&gt;1, Raw_Data!N209/100, Raw_Data!N209)), 0)</f>
        <v>0.2</v>
      </c>
      <c r="F213" s="15">
        <f>IFERROR(VALUE(Raw_Data!O209), Raw_Data!L209*Raw_Data!M209)</f>
        <v>5890.5</v>
      </c>
    </row>
    <row r="214" spans="2:6" x14ac:dyDescent="0.35">
      <c r="B214" s="13" t="s">
        <v>453</v>
      </c>
      <c r="C214" s="15" t="str">
        <f t="shared" si="3"/>
        <v>Adeel Khan</v>
      </c>
      <c r="D214" s="17">
        <v>0</v>
      </c>
      <c r="E214" s="15">
        <f>IFERROR(IF(Raw_Data!N210="", 0, IF(Raw_Data!N210&gt;1, Raw_Data!N210/100, Raw_Data!N210)), 0)</f>
        <v>0</v>
      </c>
      <c r="F214" s="15">
        <f>IFERROR(VALUE(Raw_Data!O210), Raw_Data!L210*Raw_Data!M210)</f>
        <v>44.02</v>
      </c>
    </row>
    <row r="215" spans="2:6" x14ac:dyDescent="0.35">
      <c r="B215" s="13" t="s">
        <v>455</v>
      </c>
      <c r="C215" s="15" t="str">
        <f t="shared" si="3"/>
        <v>Ali Sheikh</v>
      </c>
      <c r="D215" s="17">
        <v>0.15</v>
      </c>
      <c r="E215" s="15">
        <f>IFERROR(IF(Raw_Data!N211="", 0, IF(Raw_Data!N211&gt;1, Raw_Data!N211/100, Raw_Data!N211)), 0)</f>
        <v>0.15</v>
      </c>
      <c r="F215" s="15">
        <f>IFERROR(VALUE(Raw_Data!O211), Raw_Data!L211*Raw_Data!M211)</f>
        <v>562.08000000000004</v>
      </c>
    </row>
    <row r="216" spans="2:6" x14ac:dyDescent="0.35">
      <c r="B216" s="13" t="s">
        <v>457</v>
      </c>
      <c r="C216" s="15" t="str">
        <f t="shared" si="3"/>
        <v>Adeel Iqbal</v>
      </c>
      <c r="D216" s="17">
        <v>0.15</v>
      </c>
      <c r="E216" s="15">
        <f>IFERROR(IF(Raw_Data!N212="", 0, IF(Raw_Data!N212&gt;1, Raw_Data!N212/100, Raw_Data!N212)), 0)</f>
        <v>0.15</v>
      </c>
      <c r="F216" s="15">
        <f>IFERROR(VALUE(Raw_Data!O212), Raw_Data!L212*Raw_Data!M212)</f>
        <v>1659.2</v>
      </c>
    </row>
    <row r="217" spans="2:6" x14ac:dyDescent="0.35">
      <c r="B217" s="13" t="s">
        <v>322</v>
      </c>
      <c r="C217" s="15" t="str">
        <f t="shared" si="3"/>
        <v>Hassan Qureshi</v>
      </c>
      <c r="D217" s="17">
        <v>0</v>
      </c>
      <c r="E217" s="15">
        <f>IFERROR(IF(Raw_Data!N213="", 0, IF(Raw_Data!N213&gt;1, Raw_Data!N213/100, Raw_Data!N213)), 0)</f>
        <v>0</v>
      </c>
      <c r="F217" s="15">
        <f>IFERROR(VALUE(Raw_Data!O213), Raw_Data!L213*Raw_Data!M213)</f>
        <v>2366.2800000000002</v>
      </c>
    </row>
    <row r="218" spans="2:6" x14ac:dyDescent="0.35">
      <c r="B218" s="13" t="s">
        <v>433</v>
      </c>
      <c r="C218" s="15" t="str">
        <f t="shared" si="3"/>
        <v>Rabia Ansari</v>
      </c>
      <c r="D218" s="17">
        <v>0</v>
      </c>
      <c r="E218" s="15">
        <f>IFERROR(IF(Raw_Data!N214="", 0, IF(Raw_Data!N214&gt;1, Raw_Data!N214/100, Raw_Data!N214)), 0)</f>
        <v>0</v>
      </c>
      <c r="F218" s="15">
        <f>IFERROR(VALUE(Raw_Data!O214), Raw_Data!L214*Raw_Data!M214)</f>
        <v>1470.8</v>
      </c>
    </row>
    <row r="219" spans="2:6" x14ac:dyDescent="0.35">
      <c r="B219" s="13" t="s">
        <v>461</v>
      </c>
      <c r="C219" s="15" t="str">
        <f t="shared" si="3"/>
        <v>Rabia Raza</v>
      </c>
      <c r="D219" s="17">
        <v>0</v>
      </c>
      <c r="E219" s="15">
        <f>IFERROR(IF(Raw_Data!N215="", 0, IF(Raw_Data!N215&gt;1, Raw_Data!N215/100, Raw_Data!N215)), 0)</f>
        <v>0</v>
      </c>
      <c r="F219" s="15">
        <f>IFERROR(VALUE(Raw_Data!O215), Raw_Data!L215*Raw_Data!M215)</f>
        <v>1772.7</v>
      </c>
    </row>
    <row r="220" spans="2:6" x14ac:dyDescent="0.35">
      <c r="B220" s="13" t="s">
        <v>463</v>
      </c>
      <c r="C220" s="15" t="str">
        <f t="shared" si="3"/>
        <v>Tariq Iqbal</v>
      </c>
      <c r="D220" s="17">
        <v>0.3</v>
      </c>
      <c r="E220" s="15">
        <f>IFERROR(IF(Raw_Data!N216="", 0, IF(Raw_Data!N216&gt;1, Raw_Data!N216/100, Raw_Data!N216)), 0)</f>
        <v>0.3</v>
      </c>
      <c r="F220" s="15">
        <f>IFERROR(VALUE(Raw_Data!O216), Raw_Data!L216*Raw_Data!M216)</f>
        <v>6459.52</v>
      </c>
    </row>
    <row r="221" spans="2:6" x14ac:dyDescent="0.35">
      <c r="B221" s="13" t="s">
        <v>465</v>
      </c>
      <c r="C221" s="15" t="str">
        <f t="shared" si="3"/>
        <v>Ali Ansari</v>
      </c>
      <c r="D221" s="17">
        <v>0</v>
      </c>
      <c r="E221" s="15">
        <f>IFERROR(IF(Raw_Data!N217="", 0, IF(Raw_Data!N217&gt;1, Raw_Data!N217/100, Raw_Data!N217)), 0)</f>
        <v>0</v>
      </c>
      <c r="F221" s="15">
        <f>IFERROR(VALUE(Raw_Data!O217), Raw_Data!L217*Raw_Data!M217)</f>
        <v>173.33</v>
      </c>
    </row>
    <row r="222" spans="2:6" x14ac:dyDescent="0.35">
      <c r="B222" s="13" t="s">
        <v>467</v>
      </c>
      <c r="C222" s="15" t="str">
        <f t="shared" si="3"/>
        <v>Fatima Farooq</v>
      </c>
      <c r="D222" s="17">
        <v>0</v>
      </c>
      <c r="E222" s="15">
        <f>IFERROR(IF(Raw_Data!N218="", 0, IF(Raw_Data!N218&gt;1, Raw_Data!N218/100, Raw_Data!N218)), 0)</f>
        <v>0</v>
      </c>
      <c r="F222" s="15">
        <f>IFERROR(VALUE(Raw_Data!O218), Raw_Data!L218*Raw_Data!M218)</f>
        <v>4121.32</v>
      </c>
    </row>
    <row r="223" spans="2:6" x14ac:dyDescent="0.35">
      <c r="B223" s="13" t="s">
        <v>469</v>
      </c>
      <c r="C223" s="15" t="str">
        <f t="shared" si="3"/>
        <v>Tariq Chaudhry</v>
      </c>
      <c r="D223" s="17">
        <v>0.1</v>
      </c>
      <c r="E223" s="15">
        <f>IFERROR(IF(Raw_Data!N219="", 0, IF(Raw_Data!N219&gt;1, Raw_Data!N219/100, Raw_Data!N219)), 0)</f>
        <v>0.1</v>
      </c>
      <c r="F223" s="15">
        <f>IFERROR(VALUE(Raw_Data!O219), Raw_Data!L219*Raw_Data!M219)</f>
        <v>4380.66</v>
      </c>
    </row>
    <row r="224" spans="2:6" x14ac:dyDescent="0.35">
      <c r="B224" s="13" t="s">
        <v>419</v>
      </c>
      <c r="C224" s="15" t="str">
        <f t="shared" si="3"/>
        <v>Nida Butt</v>
      </c>
      <c r="D224" s="17">
        <v>0</v>
      </c>
      <c r="E224" s="15">
        <f>IFERROR(IF(Raw_Data!N220="", 0, IF(Raw_Data!N220&gt;1, Raw_Data!N220/100, Raw_Data!N220)), 0)</f>
        <v>0</v>
      </c>
      <c r="F224" s="15">
        <f>IFERROR(VALUE(Raw_Data!O220), Raw_Data!L220*Raw_Data!M220)</f>
        <v>329.72</v>
      </c>
    </row>
    <row r="225" spans="2:6" x14ac:dyDescent="0.35">
      <c r="B225" s="13" t="s">
        <v>406</v>
      </c>
      <c r="C225" s="15" t="str">
        <f t="shared" si="3"/>
        <v>Ali Khan</v>
      </c>
      <c r="D225" s="17">
        <v>0.15</v>
      </c>
      <c r="E225" s="15">
        <f>IFERROR(IF(Raw_Data!N221="", 0, IF(Raw_Data!N221&gt;1, Raw_Data!N221/100, Raw_Data!N221)), 0)</f>
        <v>0.15</v>
      </c>
      <c r="F225" s="15">
        <f>IFERROR(VALUE(Raw_Data!O221), Raw_Data!L221*Raw_Data!M221)</f>
        <v>6772.6</v>
      </c>
    </row>
    <row r="226" spans="2:6" x14ac:dyDescent="0.35">
      <c r="B226" s="13" t="s">
        <v>93</v>
      </c>
      <c r="C226" s="15" t="str">
        <f t="shared" si="3"/>
        <v>Fatima Qureshi</v>
      </c>
      <c r="D226" s="17">
        <v>0</v>
      </c>
      <c r="E226" s="15">
        <f>IFERROR(IF(Raw_Data!N222="", 0, IF(Raw_Data!N222&gt;1, Raw_Data!N222/100, Raw_Data!N222)), 0)</f>
        <v>0</v>
      </c>
      <c r="F226" s="15">
        <f>IFERROR(VALUE(Raw_Data!O222), Raw_Data!L222*Raw_Data!M222)</f>
        <v>2034.81</v>
      </c>
    </row>
    <row r="227" spans="2:6" x14ac:dyDescent="0.35">
      <c r="B227" s="13" t="s">
        <v>276</v>
      </c>
      <c r="C227" s="15" t="str">
        <f t="shared" si="3"/>
        <v>Faisal Malik</v>
      </c>
      <c r="D227" s="17">
        <v>0.15</v>
      </c>
      <c r="E227" s="15">
        <f>IFERROR(IF(Raw_Data!N223="", 0, IF(Raw_Data!N223&gt;1, Raw_Data!N223/100, Raw_Data!N223)), 0)</f>
        <v>0.15</v>
      </c>
      <c r="F227" s="15">
        <f>IFERROR(VALUE(Raw_Data!O223), Raw_Data!L223*Raw_Data!M223)</f>
        <v>4771.76</v>
      </c>
    </row>
    <row r="228" spans="2:6" x14ac:dyDescent="0.35">
      <c r="B228" s="13" t="s">
        <v>310</v>
      </c>
      <c r="C228" s="15" t="str">
        <f t="shared" si="3"/>
        <v>Omar Malik</v>
      </c>
      <c r="D228" s="17">
        <v>0.15</v>
      </c>
      <c r="E228" s="15">
        <f>IFERROR(IF(Raw_Data!N224="", 0, IF(Raw_Data!N224&gt;1, Raw_Data!N224/100, Raw_Data!N224)), 0)</f>
        <v>0.15</v>
      </c>
      <c r="F228" s="15">
        <f>IFERROR(VALUE(Raw_Data!O224), Raw_Data!L224*Raw_Data!M224)</f>
        <v>3697.86</v>
      </c>
    </row>
    <row r="229" spans="2:6" x14ac:dyDescent="0.35">
      <c r="B229" s="13" t="s">
        <v>474</v>
      </c>
      <c r="C229" s="15" t="str">
        <f t="shared" si="3"/>
        <v>Ayesha Chaudhry</v>
      </c>
      <c r="D229" s="17">
        <v>0</v>
      </c>
      <c r="E229" s="15">
        <f>IFERROR(IF(Raw_Data!N225="", 0, IF(Raw_Data!N225&gt;1, Raw_Data!N225/100, Raw_Data!N225)), 0)</f>
        <v>0</v>
      </c>
      <c r="F229" s="15">
        <f>IFERROR(VALUE(Raw_Data!O225), Raw_Data!L225*Raw_Data!M225)</f>
        <v>6108.06</v>
      </c>
    </row>
    <row r="230" spans="2:6" x14ac:dyDescent="0.35">
      <c r="B230" s="13" t="s">
        <v>476</v>
      </c>
      <c r="C230" s="15" t="str">
        <f t="shared" si="3"/>
        <v>Nida Iqbal</v>
      </c>
      <c r="D230" s="17">
        <v>0.1</v>
      </c>
      <c r="E230" s="15">
        <f>IFERROR(IF(Raw_Data!N226="", 0, IF(Raw_Data!N226&gt;1, Raw_Data!N226/100, Raw_Data!N226)), 0)</f>
        <v>0.1</v>
      </c>
      <c r="F230" s="15">
        <f>IFERROR(VALUE(Raw_Data!O226), Raw_Data!L226*Raw_Data!M226)</f>
        <v>1114.98</v>
      </c>
    </row>
    <row r="231" spans="2:6" x14ac:dyDescent="0.35">
      <c r="B231" s="13" t="s">
        <v>478</v>
      </c>
      <c r="C231" s="15" t="str">
        <f t="shared" si="3"/>
        <v>Adeel Sheikh</v>
      </c>
      <c r="D231" s="17">
        <v>0</v>
      </c>
      <c r="E231" s="15">
        <f>IFERROR(IF(Raw_Data!N227="", 0, IF(Raw_Data!N227&gt;1, Raw_Data!N227/100, Raw_Data!N227)), 0)</f>
        <v>0</v>
      </c>
      <c r="F231" s="15">
        <f>IFERROR(VALUE(Raw_Data!O227), Raw_Data!L227*Raw_Data!M227)</f>
        <v>4638.24</v>
      </c>
    </row>
    <row r="232" spans="2:6" x14ac:dyDescent="0.35">
      <c r="B232" s="13" t="s">
        <v>301</v>
      </c>
      <c r="C232" s="15" t="str">
        <f t="shared" si="3"/>
        <v>Sara Malik</v>
      </c>
      <c r="D232" s="17">
        <v>0</v>
      </c>
      <c r="E232" s="15">
        <f>IFERROR(IF(Raw_Data!N228="", 0, IF(Raw_Data!N228&gt;1, Raw_Data!N228/100, Raw_Data!N228)), 0)</f>
        <v>0</v>
      </c>
      <c r="F232" s="15">
        <f>IFERROR(VALUE(Raw_Data!O228), Raw_Data!L228*Raw_Data!M228)</f>
        <v>1017.4</v>
      </c>
    </row>
    <row r="233" spans="2:6" x14ac:dyDescent="0.35">
      <c r="B233" s="13" t="s">
        <v>406</v>
      </c>
      <c r="C233" s="15" t="str">
        <f t="shared" si="3"/>
        <v>Ali Khan</v>
      </c>
      <c r="D233" s="17">
        <v>0.3</v>
      </c>
      <c r="E233" s="15">
        <f>IFERROR(IF(Raw_Data!N229="", 0, IF(Raw_Data!N229&gt;1, Raw_Data!N229/100, Raw_Data!N229)), 0)</f>
        <v>0.3</v>
      </c>
      <c r="F233" s="15">
        <f>IFERROR(VALUE(Raw_Data!O229), Raw_Data!L229*Raw_Data!M229)</f>
        <v>1509.66</v>
      </c>
    </row>
    <row r="234" spans="2:6" x14ac:dyDescent="0.35">
      <c r="B234" s="13" t="s">
        <v>303</v>
      </c>
      <c r="C234" s="15" t="str">
        <f t="shared" si="3"/>
        <v>Faisal Sheikh</v>
      </c>
      <c r="D234" s="17">
        <v>0.1</v>
      </c>
      <c r="E234" s="15">
        <f>IFERROR(IF(Raw_Data!N230="", 0, IF(Raw_Data!N230&gt;1, Raw_Data!N230/100, Raw_Data!N230)), 0)</f>
        <v>0.1</v>
      </c>
      <c r="F234" s="15">
        <f>IFERROR(VALUE(Raw_Data!O230), Raw_Data!L230*Raw_Data!M230)</f>
        <v>1080.75</v>
      </c>
    </row>
    <row r="235" spans="2:6" x14ac:dyDescent="0.35">
      <c r="B235" s="13" t="s">
        <v>283</v>
      </c>
      <c r="C235" s="15" t="str">
        <f t="shared" si="3"/>
        <v>Bilal Khan</v>
      </c>
      <c r="D235" s="17">
        <v>0.3</v>
      </c>
      <c r="E235" s="15">
        <f>IFERROR(IF(Raw_Data!N231="", 0, IF(Raw_Data!N231&gt;1, Raw_Data!N231/100, Raw_Data!N231)), 0)</f>
        <v>0.3</v>
      </c>
      <c r="F235" s="15">
        <f>IFERROR(VALUE(Raw_Data!O231), Raw_Data!L231*Raw_Data!M231)</f>
        <v>1656.8</v>
      </c>
    </row>
    <row r="236" spans="2:6" x14ac:dyDescent="0.35">
      <c r="B236" s="13" t="s">
        <v>484</v>
      </c>
      <c r="C236" s="15" t="str">
        <f t="shared" si="3"/>
        <v>Nida Iqbal</v>
      </c>
      <c r="D236" s="17">
        <v>0.15</v>
      </c>
      <c r="E236" s="15">
        <f>IFERROR(IF(Raw_Data!N232="", 0, IF(Raw_Data!N232&gt;1, Raw_Data!N232/100, Raw_Data!N232)), 0)</f>
        <v>0.15</v>
      </c>
      <c r="F236" s="15">
        <f>IFERROR(VALUE(Raw_Data!O232), Raw_Data!L232*Raw_Data!M232)</f>
        <v>3133.13</v>
      </c>
    </row>
    <row r="237" spans="2:6" x14ac:dyDescent="0.35">
      <c r="B237" s="13" t="s">
        <v>486</v>
      </c>
      <c r="C237" s="15" t="str">
        <f t="shared" si="3"/>
        <v>Faisal Khan</v>
      </c>
      <c r="D237" s="17">
        <v>0</v>
      </c>
      <c r="E237" s="15">
        <f>IFERROR(IF(Raw_Data!N233="", 0, IF(Raw_Data!N233&gt;1, Raw_Data!N233/100, Raw_Data!N233)), 0)</f>
        <v>0</v>
      </c>
      <c r="F237" s="15">
        <f>IFERROR(VALUE(Raw_Data!O233), Raw_Data!L233*Raw_Data!M233)</f>
        <v>517.5</v>
      </c>
    </row>
    <row r="238" spans="2:6" x14ac:dyDescent="0.35">
      <c r="B238" s="13" t="s">
        <v>397</v>
      </c>
      <c r="C238" s="15" t="str">
        <f t="shared" si="3"/>
        <v>Rabia Khan</v>
      </c>
      <c r="D238" s="17">
        <v>0.2</v>
      </c>
      <c r="E238" s="15">
        <f>IFERROR(IF(Raw_Data!N234="", 0, IF(Raw_Data!N234&gt;1, Raw_Data!N234/100, Raw_Data!N234)), 0)</f>
        <v>0.2</v>
      </c>
      <c r="F238" s="15">
        <f>IFERROR(VALUE(Raw_Data!O234), Raw_Data!L234*Raw_Data!M234)</f>
        <v>1623.72</v>
      </c>
    </row>
    <row r="239" spans="2:6" x14ac:dyDescent="0.35">
      <c r="B239" s="13" t="s">
        <v>139</v>
      </c>
      <c r="C239" s="15" t="str">
        <f t="shared" si="3"/>
        <v>Tariq Malik</v>
      </c>
      <c r="D239" s="17">
        <v>0</v>
      </c>
      <c r="E239" s="15">
        <f>IFERROR(IF(Raw_Data!N235="", 0, IF(Raw_Data!N235&gt;1, Raw_Data!N235/100, Raw_Data!N235)), 0)</f>
        <v>0</v>
      </c>
      <c r="F239" s="15">
        <f>IFERROR(VALUE(Raw_Data!O235), Raw_Data!L235*Raw_Data!M235)</f>
        <v>4265.3</v>
      </c>
    </row>
    <row r="240" spans="2:6" x14ac:dyDescent="0.35">
      <c r="B240" s="13" t="s">
        <v>233</v>
      </c>
      <c r="C240" s="15" t="str">
        <f t="shared" si="3"/>
        <v>Omar Sheikh</v>
      </c>
      <c r="D240" s="17">
        <v>0</v>
      </c>
      <c r="E240" s="15">
        <f>IFERROR(IF(Raw_Data!N236="", 0, IF(Raw_Data!N236&gt;1, Raw_Data!N236/100, Raw_Data!N236)), 0)</f>
        <v>0</v>
      </c>
      <c r="F240" s="15">
        <f>IFERROR(VALUE(Raw_Data!O236), Raw_Data!L236*Raw_Data!M236)</f>
        <v>7250.5</v>
      </c>
    </row>
    <row r="241" spans="2:6" x14ac:dyDescent="0.35">
      <c r="B241" s="13" t="s">
        <v>71</v>
      </c>
      <c r="C241" s="15" t="str">
        <f t="shared" si="3"/>
        <v>Nida Khan</v>
      </c>
      <c r="D241" s="17">
        <v>0</v>
      </c>
      <c r="E241" s="15">
        <f>IFERROR(IF(Raw_Data!N237="", 0, IF(Raw_Data!N237&gt;1, Raw_Data!N237/100, Raw_Data!N237)), 0)</f>
        <v>0</v>
      </c>
      <c r="F241" s="15">
        <f>IFERROR(VALUE(Raw_Data!O237), Raw_Data!L237*Raw_Data!M237)</f>
        <v>2366.88</v>
      </c>
    </row>
    <row r="242" spans="2:6" x14ac:dyDescent="0.35">
      <c r="B242" s="13" t="s">
        <v>492</v>
      </c>
      <c r="C242" s="15" t="str">
        <f t="shared" si="3"/>
        <v>Sara Sheikh</v>
      </c>
      <c r="D242" s="17">
        <v>0.1</v>
      </c>
      <c r="E242" s="15">
        <f>IFERROR(IF(Raw_Data!N238="", 0, IF(Raw_Data!N238&gt;1, Raw_Data!N238/100, Raw_Data!N238)), 0)</f>
        <v>0.1</v>
      </c>
      <c r="F242" s="15">
        <f>IFERROR(VALUE(Raw_Data!O238), Raw_Data!L238*Raw_Data!M238)</f>
        <v>665.12</v>
      </c>
    </row>
    <row r="243" spans="2:6" x14ac:dyDescent="0.35">
      <c r="B243" s="13" t="s">
        <v>263</v>
      </c>
      <c r="C243" s="15" t="str">
        <f t="shared" si="3"/>
        <v>Ayesha Qureshi</v>
      </c>
      <c r="D243" s="17">
        <v>0</v>
      </c>
      <c r="E243" s="15">
        <f>IFERROR(IF(Raw_Data!N239="", 0, IF(Raw_Data!N239&gt;1, Raw_Data!N239/100, Raw_Data!N239)), 0)</f>
        <v>0</v>
      </c>
      <c r="F243" s="15">
        <f>IFERROR(VALUE(Raw_Data!O239), Raw_Data!L239*Raw_Data!M239)</f>
        <v>452.08</v>
      </c>
    </row>
    <row r="244" spans="2:6" x14ac:dyDescent="0.35">
      <c r="B244" s="13" t="s">
        <v>287</v>
      </c>
      <c r="C244" s="15" t="str">
        <f t="shared" si="3"/>
        <v>Fatima Chaudhry</v>
      </c>
      <c r="D244" s="17">
        <v>0</v>
      </c>
      <c r="E244" s="15">
        <f>IFERROR(IF(Raw_Data!N240="", 0, IF(Raw_Data!N240&gt;1, Raw_Data!N240/100, Raw_Data!N240)), 0)</f>
        <v>0</v>
      </c>
      <c r="F244" s="15">
        <f>IFERROR(VALUE(Raw_Data!O240), Raw_Data!L240*Raw_Data!M240)</f>
        <v>3561.1</v>
      </c>
    </row>
    <row r="245" spans="2:6" x14ac:dyDescent="0.35">
      <c r="B245" s="13" t="s">
        <v>225</v>
      </c>
      <c r="C245" s="15" t="str">
        <f t="shared" si="3"/>
        <v>Rabia Chaudhry</v>
      </c>
      <c r="D245" s="17">
        <v>0</v>
      </c>
      <c r="E245" s="15">
        <f>IFERROR(IF(Raw_Data!N241="", 0, IF(Raw_Data!N241&gt;1, Raw_Data!N241/100, Raw_Data!N241)), 0)</f>
        <v>0</v>
      </c>
      <c r="F245" s="15">
        <f>IFERROR(VALUE(Raw_Data!O241), Raw_Data!L241*Raw_Data!M241)</f>
        <v>791.97</v>
      </c>
    </row>
    <row r="246" spans="2:6" x14ac:dyDescent="0.35">
      <c r="B246" s="13" t="s">
        <v>461</v>
      </c>
      <c r="C246" s="15" t="str">
        <f t="shared" si="3"/>
        <v>Rabia Raza</v>
      </c>
      <c r="D246" s="17">
        <v>0.3</v>
      </c>
      <c r="E246" s="15">
        <f>IFERROR(IF(Raw_Data!N242="", 0, IF(Raw_Data!N242&gt;1, Raw_Data!N242/100, Raw_Data!N242)), 0)</f>
        <v>0.3</v>
      </c>
      <c r="F246" s="15">
        <f>IFERROR(VALUE(Raw_Data!O242), Raw_Data!L242*Raw_Data!M242)</f>
        <v>2372.31</v>
      </c>
    </row>
    <row r="247" spans="2:6" x14ac:dyDescent="0.35">
      <c r="B247" s="13" t="s">
        <v>379</v>
      </c>
      <c r="C247" s="15" t="str">
        <f t="shared" si="3"/>
        <v>Nida Sheikh</v>
      </c>
      <c r="D247" s="17">
        <v>0.2</v>
      </c>
      <c r="E247" s="15">
        <f>IFERROR(IF(Raw_Data!N243="", 0, IF(Raw_Data!N243&gt;1, Raw_Data!N243/100, Raw_Data!N243)), 0)</f>
        <v>0.2</v>
      </c>
      <c r="F247" s="15">
        <f>IFERROR(VALUE(Raw_Data!O243), Raw_Data!L243*Raw_Data!M243)</f>
        <v>1615.92</v>
      </c>
    </row>
    <row r="248" spans="2:6" x14ac:dyDescent="0.35">
      <c r="B248" s="13" t="s">
        <v>637</v>
      </c>
      <c r="C248" s="15" t="str">
        <f t="shared" si="3"/>
        <v>Ayesha Iqbal</v>
      </c>
      <c r="D248" s="17">
        <v>0</v>
      </c>
      <c r="E248" s="15">
        <f>IFERROR(IF(Raw_Data!N244="", 0, IF(Raw_Data!N244&gt;1, Raw_Data!N244/100, Raw_Data!N244)), 0)</f>
        <v>0</v>
      </c>
      <c r="F248" s="15">
        <f>IFERROR(VALUE(Raw_Data!O244), Raw_Data!L244*Raw_Data!M244)</f>
        <v>892.44</v>
      </c>
    </row>
    <row r="249" spans="2:6" x14ac:dyDescent="0.35">
      <c r="B249" s="13" t="s">
        <v>301</v>
      </c>
      <c r="C249" s="15" t="str">
        <f t="shared" si="3"/>
        <v>Sara Malik</v>
      </c>
      <c r="D249" s="17">
        <v>0</v>
      </c>
      <c r="E249" s="15">
        <f>IFERROR(IF(Raw_Data!N245="", 0, IF(Raw_Data!N245&gt;1, Raw_Data!N245/100, Raw_Data!N245)), 0)</f>
        <v>0</v>
      </c>
      <c r="F249" s="15">
        <f>IFERROR(VALUE(Raw_Data!O245), Raw_Data!L245*Raw_Data!M245)</f>
        <v>3682.35</v>
      </c>
    </row>
    <row r="250" spans="2:6" x14ac:dyDescent="0.35">
      <c r="B250" s="13" t="s">
        <v>503</v>
      </c>
      <c r="C250" s="15" t="str">
        <f t="shared" si="3"/>
        <v>Nida Raza</v>
      </c>
      <c r="D250" s="17">
        <v>0</v>
      </c>
      <c r="E250" s="15">
        <f>IFERROR(IF(Raw_Data!N246="", 0, IF(Raw_Data!N246&gt;1, Raw_Data!N246/100, Raw_Data!N246)), 0)</f>
        <v>0</v>
      </c>
      <c r="F250" s="15">
        <f>IFERROR(VALUE(Raw_Data!O246), Raw_Data!L246*Raw_Data!M246)</f>
        <v>1901.64</v>
      </c>
    </row>
    <row r="251" spans="2:6" x14ac:dyDescent="0.35">
      <c r="B251" s="13" t="s">
        <v>505</v>
      </c>
      <c r="C251" s="15" t="str">
        <f t="shared" si="3"/>
        <v>Imran Iqbal</v>
      </c>
      <c r="D251" s="17">
        <v>0</v>
      </c>
      <c r="E251" s="15">
        <f>IFERROR(IF(Raw_Data!N247="", 0, IF(Raw_Data!N247&gt;1, Raw_Data!N247/100, Raw_Data!N247)), 0)</f>
        <v>0</v>
      </c>
      <c r="F251" s="15">
        <f>IFERROR(VALUE(Raw_Data!O247), Raw_Data!L247*Raw_Data!M247)</f>
        <v>389.9</v>
      </c>
    </row>
    <row r="252" spans="2:6" x14ac:dyDescent="0.35">
      <c r="B252" s="13" t="s">
        <v>507</v>
      </c>
      <c r="C252" s="15" t="str">
        <f t="shared" si="3"/>
        <v>Omar Khan</v>
      </c>
      <c r="D252" s="17">
        <v>0.3</v>
      </c>
      <c r="E252" s="15">
        <f>IFERROR(IF(Raw_Data!N248="", 0, IF(Raw_Data!N248&gt;1, Raw_Data!N248/100, Raw_Data!N248)), 0)</f>
        <v>0.3</v>
      </c>
      <c r="F252" s="15">
        <f>IFERROR(VALUE(Raw_Data!O248), Raw_Data!L248*Raw_Data!M248)</f>
        <v>5092.1000000000004</v>
      </c>
    </row>
    <row r="253" spans="2:6" x14ac:dyDescent="0.35">
      <c r="B253" s="13" t="s">
        <v>141</v>
      </c>
      <c r="C253" s="15" t="str">
        <f t="shared" si="3"/>
        <v>Fatima Ansari</v>
      </c>
      <c r="D253" s="17">
        <v>0.3</v>
      </c>
      <c r="E253" s="15">
        <f>IFERROR(IF(Raw_Data!N249="", 0, IF(Raw_Data!N249&gt;1, Raw_Data!N249/100, Raw_Data!N249)), 0)</f>
        <v>0.3</v>
      </c>
      <c r="F253" s="15">
        <f>IFERROR(VALUE(Raw_Data!O249), Raw_Data!L249*Raw_Data!M249)</f>
        <v>1662.66</v>
      </c>
    </row>
    <row r="254" spans="2:6" x14ac:dyDescent="0.35">
      <c r="B254" s="13" t="s">
        <v>510</v>
      </c>
      <c r="C254" s="15" t="str">
        <f t="shared" si="3"/>
        <v>Hassan Iqbal</v>
      </c>
      <c r="D254" s="17">
        <v>0</v>
      </c>
      <c r="E254" s="15">
        <f>IFERROR(IF(Raw_Data!N250="", 0, IF(Raw_Data!N250&gt;1, Raw_Data!N250/100, Raw_Data!N250)), 0)</f>
        <v>0</v>
      </c>
      <c r="F254" s="15">
        <f>IFERROR(VALUE(Raw_Data!O250), Raw_Data!L250*Raw_Data!M250)</f>
        <v>565.08000000000004</v>
      </c>
    </row>
    <row r="255" spans="2:6" x14ac:dyDescent="0.35">
      <c r="B255" s="13" t="s">
        <v>110</v>
      </c>
      <c r="C255" s="15" t="str">
        <f t="shared" si="3"/>
        <v>Omar Chaudhry</v>
      </c>
      <c r="D255" s="17">
        <v>0</v>
      </c>
      <c r="E255" s="15">
        <f>IFERROR(IF(Raw_Data!N251="", 0, IF(Raw_Data!N251&gt;1, Raw_Data!N251/100, Raw_Data!N251)), 0)</f>
        <v>0</v>
      </c>
      <c r="F255" s="15">
        <f>IFERROR(VALUE(Raw_Data!O251), Raw_Data!L251*Raw_Data!M251)</f>
        <v>492.15</v>
      </c>
    </row>
    <row r="256" spans="2:6" x14ac:dyDescent="0.35">
      <c r="B256" s="13" t="s">
        <v>265</v>
      </c>
      <c r="C256" s="15" t="str">
        <f t="shared" si="3"/>
        <v>Kamran Sheikh</v>
      </c>
      <c r="D256" s="17">
        <v>0.1</v>
      </c>
      <c r="E256" s="15">
        <f>IFERROR(IF(Raw_Data!N252="", 0, IF(Raw_Data!N252&gt;1, Raw_Data!N252/100, Raw_Data!N252)), 0)</f>
        <v>0.1</v>
      </c>
      <c r="F256" s="15">
        <f>IFERROR(VALUE(Raw_Data!O252), Raw_Data!L252*Raw_Data!M252)</f>
        <v>602.66999999999996</v>
      </c>
    </row>
    <row r="257" spans="2:6" x14ac:dyDescent="0.35">
      <c r="B257" s="13" t="s">
        <v>26</v>
      </c>
      <c r="C257" s="15" t="str">
        <f t="shared" si="3"/>
        <v>Fatima Raza</v>
      </c>
      <c r="D257" s="17">
        <v>0.3</v>
      </c>
      <c r="E257" s="15">
        <f>IFERROR(IF(Raw_Data!N253="", 0, IF(Raw_Data!N253&gt;1, Raw_Data!N253/100, Raw_Data!N253)), 0)</f>
        <v>0.3</v>
      </c>
      <c r="F257" s="15">
        <f>IFERROR(VALUE(Raw_Data!O253), Raw_Data!L253*Raw_Data!M253)</f>
        <v>467.37</v>
      </c>
    </row>
    <row r="258" spans="2:6" x14ac:dyDescent="0.35">
      <c r="B258" s="13" t="s">
        <v>93</v>
      </c>
      <c r="C258" s="15" t="str">
        <f t="shared" si="3"/>
        <v>Fatima Qureshi</v>
      </c>
      <c r="D258" s="17">
        <v>0</v>
      </c>
      <c r="E258" s="15">
        <f>IFERROR(IF(Raw_Data!N254="", 0, IF(Raw_Data!N254&gt;1, Raw_Data!N254/100, Raw_Data!N254)), 0)</f>
        <v>0</v>
      </c>
      <c r="F258" s="15">
        <f>IFERROR(VALUE(Raw_Data!O254), Raw_Data!L254*Raw_Data!M254)</f>
        <v>2078.19</v>
      </c>
    </row>
    <row r="259" spans="2:6" x14ac:dyDescent="0.35">
      <c r="B259" s="13" t="s">
        <v>331</v>
      </c>
      <c r="C259" s="15" t="str">
        <f t="shared" si="3"/>
        <v>Faisal Ansari</v>
      </c>
      <c r="D259" s="17">
        <v>0</v>
      </c>
      <c r="E259" s="15">
        <f>IFERROR(IF(Raw_Data!N255="", 0, IF(Raw_Data!N255&gt;1, Raw_Data!N255/100, Raw_Data!N255)), 0)</f>
        <v>0</v>
      </c>
      <c r="F259" s="15">
        <f>IFERROR(VALUE(Raw_Data!O255), Raw_Data!L255*Raw_Data!M255)</f>
        <v>476.64</v>
      </c>
    </row>
    <row r="260" spans="2:6" x14ac:dyDescent="0.35">
      <c r="B260" s="13" t="s">
        <v>149</v>
      </c>
      <c r="C260" s="15" t="str">
        <f t="shared" si="3"/>
        <v>Usman Butt</v>
      </c>
      <c r="D260" s="17">
        <v>0.3</v>
      </c>
      <c r="E260" s="15">
        <f>IFERROR(IF(Raw_Data!N256="", 0, IF(Raw_Data!N256&gt;1, Raw_Data!N256/100, Raw_Data!N256)), 0)</f>
        <v>0.3</v>
      </c>
      <c r="F260" s="15">
        <f>IFERROR(VALUE(Raw_Data!O256), Raw_Data!L256*Raw_Data!M256)</f>
        <v>5522.44</v>
      </c>
    </row>
    <row r="261" spans="2:6" x14ac:dyDescent="0.35">
      <c r="B261" s="13" t="s">
        <v>267</v>
      </c>
      <c r="C261" s="15" t="str">
        <f t="shared" si="3"/>
        <v>Nida Chaudhry</v>
      </c>
      <c r="D261" s="17">
        <v>0.2</v>
      </c>
      <c r="E261" s="15">
        <f>IFERROR(IF(Raw_Data!N257="", 0, IF(Raw_Data!N257&gt;1, Raw_Data!N257/100, Raw_Data!N257)), 0)</f>
        <v>0.2</v>
      </c>
      <c r="F261" s="15">
        <f>IFERROR(VALUE(Raw_Data!O257), Raw_Data!L257*Raw_Data!M257)</f>
        <v>511.51</v>
      </c>
    </row>
    <row r="262" spans="2:6" x14ac:dyDescent="0.35">
      <c r="B262" s="13" t="s">
        <v>518</v>
      </c>
      <c r="C262" s="15" t="str">
        <f t="shared" si="3"/>
        <v>Sana Qureshi</v>
      </c>
      <c r="D262" s="17">
        <v>0.1</v>
      </c>
      <c r="E262" s="15">
        <f>IFERROR(IF(Raw_Data!N258="", 0, IF(Raw_Data!N258&gt;1, Raw_Data!N258/100, Raw_Data!N258)), 0)</f>
        <v>0.1</v>
      </c>
      <c r="F262" s="15">
        <f>IFERROR(VALUE(Raw_Data!O258), Raw_Data!L258*Raw_Data!M258)</f>
        <v>3599.44</v>
      </c>
    </row>
    <row r="263" spans="2:6" x14ac:dyDescent="0.35">
      <c r="B263" s="13" t="s">
        <v>373</v>
      </c>
      <c r="C263" s="15" t="str">
        <f t="shared" ref="C263:C326" si="4">IF(OR(B263="",B263=0), "Unknown Customer", PROPER(TRIM(B263)))</f>
        <v>Kamran Raza</v>
      </c>
      <c r="D263" s="17">
        <v>0.15</v>
      </c>
      <c r="E263" s="15">
        <f>IFERROR(IF(Raw_Data!N259="", 0, IF(Raw_Data!N259&gt;1, Raw_Data!N259/100, Raw_Data!N259)), 0)</f>
        <v>0.15</v>
      </c>
      <c r="F263" s="15">
        <f>IFERROR(VALUE(Raw_Data!O259), Raw_Data!L259*Raw_Data!M259)</f>
        <v>3521.36</v>
      </c>
    </row>
    <row r="264" spans="2:6" x14ac:dyDescent="0.35">
      <c r="B264" s="13" t="s">
        <v>521</v>
      </c>
      <c r="C264" s="15" t="str">
        <f t="shared" si="4"/>
        <v>Sara Ansari</v>
      </c>
      <c r="D264" s="17">
        <v>0</v>
      </c>
      <c r="E264" s="15">
        <f>IFERROR(IF(Raw_Data!N260="", 0, IF(Raw_Data!N260&gt;1, Raw_Data!N260/100, Raw_Data!N260)), 0)</f>
        <v>0</v>
      </c>
      <c r="F264" s="15">
        <f>IFERROR(VALUE(Raw_Data!O260), Raw_Data!L260*Raw_Data!M260)</f>
        <v>10524.24</v>
      </c>
    </row>
    <row r="265" spans="2:6" x14ac:dyDescent="0.35">
      <c r="B265" s="13" t="s">
        <v>523</v>
      </c>
      <c r="C265" s="15" t="str">
        <f t="shared" si="4"/>
        <v>Ahmed Butt</v>
      </c>
      <c r="D265" s="17">
        <v>0.3</v>
      </c>
      <c r="E265" s="15">
        <f>IFERROR(IF(Raw_Data!N261="", 0, IF(Raw_Data!N261&gt;1, Raw_Data!N261/100, Raw_Data!N261)), 0)</f>
        <v>0.3</v>
      </c>
      <c r="F265" s="15">
        <f>IFERROR(VALUE(Raw_Data!O261), Raw_Data!L261*Raw_Data!M261)</f>
        <v>1794.3</v>
      </c>
    </row>
    <row r="266" spans="2:6" x14ac:dyDescent="0.35">
      <c r="B266" s="13" t="s">
        <v>118</v>
      </c>
      <c r="C266" s="15" t="str">
        <f t="shared" si="4"/>
        <v>Ali Malik</v>
      </c>
      <c r="D266" s="17">
        <v>0.15</v>
      </c>
      <c r="E266" s="15">
        <f>IFERROR(IF(Raw_Data!N262="", 0, IF(Raw_Data!N262&gt;1, Raw_Data!N262/100, Raw_Data!N262)), 0)</f>
        <v>0.15</v>
      </c>
      <c r="F266" s="15">
        <f>IFERROR(VALUE(Raw_Data!O262), Raw_Data!L262*Raw_Data!M262)</f>
        <v>2411.08</v>
      </c>
    </row>
    <row r="267" spans="2:6" x14ac:dyDescent="0.35">
      <c r="B267" s="13" t="s">
        <v>274</v>
      </c>
      <c r="C267" s="15" t="str">
        <f t="shared" si="4"/>
        <v>Mahnoor Butt</v>
      </c>
      <c r="D267" s="17">
        <v>0</v>
      </c>
      <c r="E267" s="15">
        <f>IFERROR(IF(Raw_Data!N263="", 0, IF(Raw_Data!N263&gt;1, Raw_Data!N263/100, Raw_Data!N263)), 0)</f>
        <v>0</v>
      </c>
      <c r="F267" s="15">
        <f>IFERROR(VALUE(Raw_Data!O263), Raw_Data!L263*Raw_Data!M263)</f>
        <v>8259.4599999999991</v>
      </c>
    </row>
    <row r="268" spans="2:6" x14ac:dyDescent="0.35">
      <c r="B268" s="13" t="s">
        <v>167</v>
      </c>
      <c r="C268" s="15" t="str">
        <f t="shared" si="4"/>
        <v>Imran Farooq</v>
      </c>
      <c r="D268" s="17">
        <v>0</v>
      </c>
      <c r="E268" s="15">
        <f>IFERROR(IF(Raw_Data!N264="", 0, IF(Raw_Data!N264&gt;1, Raw_Data!N264/100, Raw_Data!N264)), 0)</f>
        <v>0</v>
      </c>
      <c r="F268" s="15">
        <f>IFERROR(VALUE(Raw_Data!O264), Raw_Data!L264*Raw_Data!M264)</f>
        <v>2152.71</v>
      </c>
    </row>
    <row r="269" spans="2:6" x14ac:dyDescent="0.35">
      <c r="B269" s="13" t="s">
        <v>207</v>
      </c>
      <c r="C269" s="15" t="str">
        <f t="shared" si="4"/>
        <v>Kamran Butt</v>
      </c>
      <c r="D269" s="17">
        <v>0.15</v>
      </c>
      <c r="E269" s="15">
        <f>IFERROR(IF(Raw_Data!N265="", 0, IF(Raw_Data!N265&gt;1, Raw_Data!N265/100, Raw_Data!N265)), 0)</f>
        <v>0.15</v>
      </c>
      <c r="F269" s="15">
        <f>IFERROR(VALUE(Raw_Data!O265), Raw_Data!L265*Raw_Data!M265)</f>
        <v>726.48</v>
      </c>
    </row>
    <row r="270" spans="2:6" x14ac:dyDescent="0.35">
      <c r="B270" s="13" t="s">
        <v>213</v>
      </c>
      <c r="C270" s="15" t="str">
        <f t="shared" si="4"/>
        <v>Hina Iqbal</v>
      </c>
      <c r="D270" s="17">
        <v>0.15</v>
      </c>
      <c r="E270" s="15">
        <f>IFERROR(IF(Raw_Data!N266="", 0, IF(Raw_Data!N266&gt;1, Raw_Data!N266/100, Raw_Data!N266)), 0)</f>
        <v>0.15</v>
      </c>
      <c r="F270" s="15">
        <f>IFERROR(VALUE(Raw_Data!O266), Raw_Data!L266*Raw_Data!M266)</f>
        <v>307.93</v>
      </c>
    </row>
    <row r="271" spans="2:6" x14ac:dyDescent="0.35">
      <c r="B271" s="13" t="s">
        <v>60</v>
      </c>
      <c r="C271" s="15" t="str">
        <f t="shared" si="4"/>
        <v>Imran Sheikh</v>
      </c>
      <c r="D271" s="17">
        <v>0.2</v>
      </c>
      <c r="E271" s="15">
        <f>IFERROR(IF(Raw_Data!N267="", 0, IF(Raw_Data!N267&gt;1, Raw_Data!N267/100, Raw_Data!N267)), 0)</f>
        <v>0.2</v>
      </c>
      <c r="F271" s="15">
        <f>IFERROR(VALUE(Raw_Data!O267), Raw_Data!L267*Raw_Data!M267)</f>
        <v>351.64</v>
      </c>
    </row>
    <row r="272" spans="2:6" x14ac:dyDescent="0.35">
      <c r="B272" s="13" t="s">
        <v>326</v>
      </c>
      <c r="C272" s="15" t="str">
        <f t="shared" si="4"/>
        <v>Ali Raza</v>
      </c>
      <c r="D272" s="17">
        <v>0</v>
      </c>
      <c r="E272" s="15">
        <f>IFERROR(IF(Raw_Data!N268="", 0, IF(Raw_Data!N268&gt;1, Raw_Data!N268/100, Raw_Data!N268)), 0)</f>
        <v>0</v>
      </c>
      <c r="F272" s="15">
        <f>IFERROR(VALUE(Raw_Data!O268), Raw_Data!L268*Raw_Data!M268)</f>
        <v>3495.6</v>
      </c>
    </row>
    <row r="273" spans="2:6" x14ac:dyDescent="0.35">
      <c r="B273" s="13" t="s">
        <v>395</v>
      </c>
      <c r="C273" s="15" t="str">
        <f t="shared" si="4"/>
        <v>Usman Farooq</v>
      </c>
      <c r="D273" s="17">
        <v>0</v>
      </c>
      <c r="E273" s="15">
        <f>IFERROR(IF(Raw_Data!N269="", 0, IF(Raw_Data!N269&gt;1, Raw_Data!N269/100, Raw_Data!N269)), 0)</f>
        <v>0</v>
      </c>
      <c r="F273" s="15">
        <f>IFERROR(VALUE(Raw_Data!O269), Raw_Data!L269*Raw_Data!M269)</f>
        <v>2590.44</v>
      </c>
    </row>
    <row r="274" spans="2:6" x14ac:dyDescent="0.35">
      <c r="B274" s="13" t="s">
        <v>533</v>
      </c>
      <c r="C274" s="15" t="str">
        <f t="shared" si="4"/>
        <v>Rabia Farooq</v>
      </c>
      <c r="D274" s="17">
        <v>0.3</v>
      </c>
      <c r="E274" s="15">
        <f>IFERROR(IF(Raw_Data!N270="", 0, IF(Raw_Data!N270&gt;1, Raw_Data!N270/100, Raw_Data!N270)), 0)</f>
        <v>0.3</v>
      </c>
      <c r="F274" s="15">
        <f>IFERROR(VALUE(Raw_Data!O270), Raw_Data!L270*Raw_Data!M270)</f>
        <v>2570.13</v>
      </c>
    </row>
    <row r="275" spans="2:6" x14ac:dyDescent="0.35">
      <c r="B275" s="13" t="s">
        <v>535</v>
      </c>
      <c r="C275" s="15" t="str">
        <f t="shared" si="4"/>
        <v>Nida Ansari</v>
      </c>
      <c r="D275" s="17">
        <v>0</v>
      </c>
      <c r="E275" s="15">
        <f>IFERROR(IF(Raw_Data!N271="", 0, IF(Raw_Data!N271&gt;1, Raw_Data!N271/100, Raw_Data!N271)), 0)</f>
        <v>0</v>
      </c>
      <c r="F275" s="15">
        <f>IFERROR(VALUE(Raw_Data!O271), Raw_Data!L271*Raw_Data!M271)</f>
        <v>5513.12</v>
      </c>
    </row>
    <row r="276" spans="2:6" x14ac:dyDescent="0.35">
      <c r="B276" s="13" t="s">
        <v>93</v>
      </c>
      <c r="C276" s="15" t="str">
        <f t="shared" si="4"/>
        <v>Fatima Qureshi</v>
      </c>
      <c r="D276" s="17">
        <v>0.1</v>
      </c>
      <c r="E276" s="15">
        <f>IFERROR(IF(Raw_Data!N272="", 0, IF(Raw_Data!N272&gt;1, Raw_Data!N272/100, Raw_Data!N272)), 0)</f>
        <v>0.1</v>
      </c>
      <c r="F276" s="15">
        <f>IFERROR(VALUE(Raw_Data!O272), Raw_Data!L272*Raw_Data!M272)</f>
        <v>6103.9</v>
      </c>
    </row>
    <row r="277" spans="2:6" x14ac:dyDescent="0.35">
      <c r="B277" s="13" t="s">
        <v>408</v>
      </c>
      <c r="C277" s="15" t="str">
        <f t="shared" si="4"/>
        <v>Sara Iqbal</v>
      </c>
      <c r="D277" s="17">
        <v>0</v>
      </c>
      <c r="E277" s="15">
        <f>IFERROR(IF(Raw_Data!N273="", 0, IF(Raw_Data!N273&gt;1, Raw_Data!N273/100, Raw_Data!N273)), 0)</f>
        <v>0</v>
      </c>
      <c r="F277" s="15">
        <f>IFERROR(VALUE(Raw_Data!O273), Raw_Data!L273*Raw_Data!M273)</f>
        <v>2342.4899999999998</v>
      </c>
    </row>
    <row r="278" spans="2:6" x14ac:dyDescent="0.35">
      <c r="B278" s="13" t="s">
        <v>239</v>
      </c>
      <c r="C278" s="15" t="str">
        <f t="shared" si="4"/>
        <v>Sana Farooq</v>
      </c>
      <c r="D278" s="17">
        <v>0</v>
      </c>
      <c r="E278" s="15">
        <f>IFERROR(IF(Raw_Data!N274="", 0, IF(Raw_Data!N274&gt;1, Raw_Data!N274/100, Raw_Data!N274)), 0)</f>
        <v>0</v>
      </c>
      <c r="F278" s="15">
        <f>IFERROR(VALUE(Raw_Data!O274), Raw_Data!L274*Raw_Data!M274)</f>
        <v>1925.44</v>
      </c>
    </row>
    <row r="279" spans="2:6" x14ac:dyDescent="0.35">
      <c r="B279" s="13" t="s">
        <v>149</v>
      </c>
      <c r="C279" s="15" t="str">
        <f t="shared" si="4"/>
        <v>Usman Butt</v>
      </c>
      <c r="D279" s="17">
        <v>0</v>
      </c>
      <c r="E279" s="15">
        <f>IFERROR(IF(Raw_Data!N275="", 0, IF(Raw_Data!N275&gt;1, Raw_Data!N275/100, Raw_Data!N275)), 0)</f>
        <v>0</v>
      </c>
      <c r="F279" s="15">
        <f>IFERROR(VALUE(Raw_Data!O275), Raw_Data!L275*Raw_Data!M275)</f>
        <v>567.36</v>
      </c>
    </row>
    <row r="280" spans="2:6" x14ac:dyDescent="0.35">
      <c r="B280" s="13" t="s">
        <v>463</v>
      </c>
      <c r="C280" s="15" t="str">
        <f t="shared" si="4"/>
        <v>Tariq Iqbal</v>
      </c>
      <c r="D280" s="17">
        <v>0.1</v>
      </c>
      <c r="E280" s="15">
        <f>IFERROR(IF(Raw_Data!N276="", 0, IF(Raw_Data!N276&gt;1, Raw_Data!N276/100, Raw_Data!N276)), 0)</f>
        <v>0.1</v>
      </c>
      <c r="F280" s="15">
        <f>IFERROR(VALUE(Raw_Data!O276), Raw_Data!L276*Raw_Data!M276)</f>
        <v>1896.16</v>
      </c>
    </row>
    <row r="281" spans="2:6" x14ac:dyDescent="0.35">
      <c r="B281" s="13" t="s">
        <v>114</v>
      </c>
      <c r="C281" s="15" t="str">
        <f t="shared" si="4"/>
        <v>Imran Malik</v>
      </c>
      <c r="D281" s="17">
        <v>0</v>
      </c>
      <c r="E281" s="15">
        <f>IFERROR(IF(Raw_Data!N277="", 0, IF(Raw_Data!N277&gt;1, Raw_Data!N277/100, Raw_Data!N277)), 0)</f>
        <v>0</v>
      </c>
      <c r="F281" s="15">
        <f>IFERROR(VALUE(Raw_Data!O277), Raw_Data!L277*Raw_Data!M277)</f>
        <v>2795.94</v>
      </c>
    </row>
    <row r="282" spans="2:6" x14ac:dyDescent="0.35">
      <c r="B282" s="13" t="s">
        <v>310</v>
      </c>
      <c r="C282" s="15" t="str">
        <f t="shared" si="4"/>
        <v>Omar Malik</v>
      </c>
      <c r="D282" s="17">
        <v>0.1</v>
      </c>
      <c r="E282" s="15">
        <f>IFERROR(IF(Raw_Data!N278="", 0, IF(Raw_Data!N278&gt;1, Raw_Data!N278/100, Raw_Data!N278)), 0)</f>
        <v>0.1</v>
      </c>
      <c r="F282" s="15">
        <f>IFERROR(VALUE(Raw_Data!O278), Raw_Data!L278*Raw_Data!M278)</f>
        <v>486</v>
      </c>
    </row>
    <row r="283" spans="2:6" x14ac:dyDescent="0.35">
      <c r="B283" s="13" t="s">
        <v>544</v>
      </c>
      <c r="C283" s="15" t="str">
        <f t="shared" si="4"/>
        <v>Bilal Malik</v>
      </c>
      <c r="D283" s="17">
        <v>0.2</v>
      </c>
      <c r="E283" s="15">
        <f>IFERROR(IF(Raw_Data!N279="", 0, IF(Raw_Data!N279&gt;1, Raw_Data!N279/100, Raw_Data!N279)), 0)</f>
        <v>0.2</v>
      </c>
      <c r="F283" s="15">
        <f>IFERROR(VALUE(Raw_Data!O279), Raw_Data!L279*Raw_Data!M279)</f>
        <v>3472.4</v>
      </c>
    </row>
    <row r="284" spans="2:6" x14ac:dyDescent="0.35">
      <c r="B284" s="13" t="s">
        <v>389</v>
      </c>
      <c r="C284" s="15" t="str">
        <f t="shared" si="4"/>
        <v>Ahmed Khan</v>
      </c>
      <c r="D284" s="17">
        <v>0.15</v>
      </c>
      <c r="E284" s="15">
        <f>IFERROR(IF(Raw_Data!N280="", 0, IF(Raw_Data!N280&gt;1, Raw_Data!N280/100, Raw_Data!N280)), 0)</f>
        <v>0.15</v>
      </c>
      <c r="F284" s="15">
        <f>IFERROR(VALUE(Raw_Data!O280), Raw_Data!L280*Raw_Data!M280)</f>
        <v>5862.24</v>
      </c>
    </row>
    <row r="285" spans="2:6" x14ac:dyDescent="0.35">
      <c r="B285" s="13" t="s">
        <v>66</v>
      </c>
      <c r="C285" s="15" t="str">
        <f t="shared" si="4"/>
        <v>Usman Qureshi</v>
      </c>
      <c r="D285" s="17">
        <v>0.15</v>
      </c>
      <c r="E285" s="15">
        <f>IFERROR(IF(Raw_Data!N281="", 0, IF(Raw_Data!N281&gt;1, Raw_Data!N281/100, Raw_Data!N281)), 0)</f>
        <v>0.15</v>
      </c>
      <c r="F285" s="15">
        <f>IFERROR(VALUE(Raw_Data!O281), Raw_Data!L281*Raw_Data!M281)</f>
        <v>2166.6</v>
      </c>
    </row>
    <row r="286" spans="2:6" x14ac:dyDescent="0.35">
      <c r="B286" s="13" t="s">
        <v>544</v>
      </c>
      <c r="C286" s="15" t="str">
        <f t="shared" si="4"/>
        <v>Bilal Malik</v>
      </c>
      <c r="D286" s="17">
        <v>0</v>
      </c>
      <c r="E286" s="15">
        <f>IFERROR(IF(Raw_Data!N282="", 0, IF(Raw_Data!N282&gt;1, Raw_Data!N282/100, Raw_Data!N282)), 0)</f>
        <v>0</v>
      </c>
      <c r="F286" s="15">
        <f>IFERROR(VALUE(Raw_Data!O282), Raw_Data!L282*Raw_Data!M282)</f>
        <v>6418.17</v>
      </c>
    </row>
    <row r="287" spans="2:6" x14ac:dyDescent="0.35">
      <c r="B287" s="13" t="s">
        <v>131</v>
      </c>
      <c r="C287" s="15" t="str">
        <f t="shared" si="4"/>
        <v>Ahmed Iqbal</v>
      </c>
      <c r="D287" s="17">
        <v>0.15</v>
      </c>
      <c r="E287" s="15">
        <f>IFERROR(IF(Raw_Data!N283="", 0, IF(Raw_Data!N283&gt;1, Raw_Data!N283/100, Raw_Data!N283)), 0)</f>
        <v>0.15</v>
      </c>
      <c r="F287" s="15">
        <f>IFERROR(VALUE(Raw_Data!O283), Raw_Data!L283*Raw_Data!M283)</f>
        <v>8159.1</v>
      </c>
    </row>
    <row r="288" spans="2:6" x14ac:dyDescent="0.35">
      <c r="B288" s="13" t="s">
        <v>239</v>
      </c>
      <c r="C288" s="15" t="str">
        <f t="shared" si="4"/>
        <v>Sana Farooq</v>
      </c>
      <c r="D288" s="17">
        <v>0</v>
      </c>
      <c r="E288" s="15">
        <f>IFERROR(IF(Raw_Data!N284="", 0, IF(Raw_Data!N284&gt;1, Raw_Data!N284/100, Raw_Data!N284)), 0)</f>
        <v>0</v>
      </c>
      <c r="F288" s="15">
        <f>IFERROR(VALUE(Raw_Data!O284), Raw_Data!L284*Raw_Data!M284)</f>
        <v>9576.6</v>
      </c>
    </row>
    <row r="289" spans="2:6" x14ac:dyDescent="0.35">
      <c r="B289" s="13" t="s">
        <v>551</v>
      </c>
      <c r="C289" s="15" t="str">
        <f t="shared" si="4"/>
        <v>Kamran Chaudhry</v>
      </c>
      <c r="D289" s="17">
        <v>0.1</v>
      </c>
      <c r="E289" s="15">
        <f>IFERROR(IF(Raw_Data!N285="", 0, IF(Raw_Data!N285&gt;1, Raw_Data!N285/100, Raw_Data!N285)), 0)</f>
        <v>0.1</v>
      </c>
      <c r="F289" s="15">
        <f>IFERROR(VALUE(Raw_Data!O285), Raw_Data!L285*Raw_Data!M285)</f>
        <v>1426.32</v>
      </c>
    </row>
    <row r="290" spans="2:6" x14ac:dyDescent="0.35">
      <c r="B290" s="13" t="s">
        <v>210</v>
      </c>
      <c r="C290" s="15" t="str">
        <f t="shared" si="4"/>
        <v>Imran Butt</v>
      </c>
      <c r="D290" s="17">
        <v>0.1</v>
      </c>
      <c r="E290" s="15">
        <f>IFERROR(IF(Raw_Data!N286="", 0, IF(Raw_Data!N286&gt;1, Raw_Data!N286/100, Raw_Data!N286)), 0)</f>
        <v>0.1</v>
      </c>
      <c r="F290" s="15">
        <f>IFERROR(VALUE(Raw_Data!O286), Raw_Data!L286*Raw_Data!M286)</f>
        <v>4046.07</v>
      </c>
    </row>
    <row r="291" spans="2:6" x14ac:dyDescent="0.35">
      <c r="B291" s="13" t="s">
        <v>77</v>
      </c>
      <c r="C291" s="15" t="str">
        <f t="shared" si="4"/>
        <v>Mahnoor Iqbal</v>
      </c>
      <c r="D291" s="17">
        <v>0.15</v>
      </c>
      <c r="E291" s="15">
        <f>IFERROR(IF(Raw_Data!N287="", 0, IF(Raw_Data!N287&gt;1, Raw_Data!N287/100, Raw_Data!N287)), 0)</f>
        <v>0.15</v>
      </c>
      <c r="F291" s="15">
        <f>IFERROR(VALUE(Raw_Data!O287), Raw_Data!L287*Raw_Data!M287)</f>
        <v>5198.49</v>
      </c>
    </row>
    <row r="292" spans="2:6" x14ac:dyDescent="0.35">
      <c r="B292" s="13" t="s">
        <v>26</v>
      </c>
      <c r="C292" s="15" t="str">
        <f t="shared" si="4"/>
        <v>Fatima Raza</v>
      </c>
      <c r="D292" s="17">
        <v>0</v>
      </c>
      <c r="E292" s="15">
        <f>IFERROR(IF(Raw_Data!N288="", 0, IF(Raw_Data!N288&gt;1, Raw_Data!N288/100, Raw_Data!N288)), 0)</f>
        <v>0</v>
      </c>
      <c r="F292" s="15">
        <f>IFERROR(VALUE(Raw_Data!O288), Raw_Data!L288*Raw_Data!M288)</f>
        <v>708.3</v>
      </c>
    </row>
    <row r="293" spans="2:6" x14ac:dyDescent="0.35">
      <c r="B293" s="13" t="s">
        <v>556</v>
      </c>
      <c r="C293" s="15" t="str">
        <f t="shared" si="4"/>
        <v>Zara Malik</v>
      </c>
      <c r="D293" s="17">
        <v>0.15</v>
      </c>
      <c r="E293" s="15">
        <f>IFERROR(IF(Raw_Data!N289="", 0, IF(Raw_Data!N289&gt;1, Raw_Data!N289/100, Raw_Data!N289)), 0)</f>
        <v>0.15</v>
      </c>
      <c r="F293" s="15">
        <f>IFERROR(VALUE(Raw_Data!O289), Raw_Data!L289*Raw_Data!M289)</f>
        <v>5733.1</v>
      </c>
    </row>
    <row r="294" spans="2:6" x14ac:dyDescent="0.35">
      <c r="B294" s="13" t="s">
        <v>558</v>
      </c>
      <c r="C294" s="15" t="str">
        <f t="shared" si="4"/>
        <v>Imran Qureshi</v>
      </c>
      <c r="D294" s="17">
        <v>0</v>
      </c>
      <c r="E294" s="15">
        <f>IFERROR(IF(Raw_Data!N290="", 0, IF(Raw_Data!N290&gt;1, Raw_Data!N290/100, Raw_Data!N290)), 0)</f>
        <v>0</v>
      </c>
      <c r="F294" s="15">
        <f>IFERROR(VALUE(Raw_Data!O290), Raw_Data!L290*Raw_Data!M290)</f>
        <v>754.02</v>
      </c>
    </row>
    <row r="295" spans="2:6" x14ac:dyDescent="0.35">
      <c r="B295" s="13" t="s">
        <v>560</v>
      </c>
      <c r="C295" s="15" t="str">
        <f t="shared" si="4"/>
        <v>Mahnoor Malik</v>
      </c>
      <c r="D295" s="17">
        <v>0</v>
      </c>
      <c r="E295" s="15">
        <f>IFERROR(IF(Raw_Data!N291="", 0, IF(Raw_Data!N291&gt;1, Raw_Data!N291/100, Raw_Data!N291)), 0)</f>
        <v>0</v>
      </c>
      <c r="F295" s="15">
        <f>IFERROR(VALUE(Raw_Data!O291), Raw_Data!L291*Raw_Data!M291)</f>
        <v>5579.49</v>
      </c>
    </row>
    <row r="296" spans="2:6" x14ac:dyDescent="0.35">
      <c r="B296" s="13" t="s">
        <v>562</v>
      </c>
      <c r="C296" s="15" t="str">
        <f t="shared" si="4"/>
        <v>Faisal Iqbal</v>
      </c>
      <c r="D296" s="17">
        <v>0.15</v>
      </c>
      <c r="E296" s="15">
        <f>IFERROR(IF(Raw_Data!N292="", 0, IF(Raw_Data!N292&gt;1, Raw_Data!N292/100, Raw_Data!N292)), 0)</f>
        <v>0.15</v>
      </c>
      <c r="F296" s="15">
        <f>IFERROR(VALUE(Raw_Data!O292), Raw_Data!L292*Raw_Data!M292)</f>
        <v>2258.34</v>
      </c>
    </row>
    <row r="297" spans="2:6" x14ac:dyDescent="0.35">
      <c r="B297" s="13" t="s">
        <v>163</v>
      </c>
      <c r="C297" s="15" t="str">
        <f t="shared" si="4"/>
        <v>Bilal Butt</v>
      </c>
      <c r="D297" s="17">
        <v>0</v>
      </c>
      <c r="E297" s="15">
        <f>IFERROR(IF(Raw_Data!N293="", 0, IF(Raw_Data!N293&gt;1, Raw_Data!N293/100, Raw_Data!N293)), 0)</f>
        <v>0</v>
      </c>
      <c r="F297" s="15">
        <f>IFERROR(VALUE(Raw_Data!O293), Raw_Data!L293*Raw_Data!M293)</f>
        <v>69.209999999999994</v>
      </c>
    </row>
    <row r="298" spans="2:6" x14ac:dyDescent="0.35">
      <c r="B298" s="13" t="s">
        <v>565</v>
      </c>
      <c r="C298" s="15" t="str">
        <f t="shared" si="4"/>
        <v>Fatima Khan</v>
      </c>
      <c r="D298" s="17">
        <v>0.2</v>
      </c>
      <c r="E298" s="15">
        <f>IFERROR(IF(Raw_Data!N294="", 0, IF(Raw_Data!N294&gt;1, Raw_Data!N294/100, Raw_Data!N294)), 0)</f>
        <v>0.2</v>
      </c>
      <c r="F298" s="15">
        <f>IFERROR(VALUE(Raw_Data!O294), Raw_Data!L294*Raw_Data!M294)</f>
        <v>52.94</v>
      </c>
    </row>
    <row r="299" spans="2:6" x14ac:dyDescent="0.35">
      <c r="B299" s="13" t="s">
        <v>567</v>
      </c>
      <c r="C299" s="15" t="str">
        <f t="shared" si="4"/>
        <v>Mahnoor Chaudhry</v>
      </c>
      <c r="D299" s="17">
        <v>0</v>
      </c>
      <c r="E299" s="15">
        <f>IFERROR(IF(Raw_Data!N295="", 0, IF(Raw_Data!N295&gt;1, Raw_Data!N295/100, Raw_Data!N295)), 0)</f>
        <v>0</v>
      </c>
      <c r="F299" s="15">
        <f>IFERROR(VALUE(Raw_Data!O295), Raw_Data!L295*Raw_Data!M295)</f>
        <v>1799.84</v>
      </c>
    </row>
    <row r="300" spans="2:6" x14ac:dyDescent="0.35">
      <c r="B300" s="13" t="s">
        <v>151</v>
      </c>
      <c r="C300" s="15" t="str">
        <f t="shared" si="4"/>
        <v>Hina Butt</v>
      </c>
      <c r="D300" s="17">
        <v>0.1</v>
      </c>
      <c r="E300" s="15">
        <f>IFERROR(IF(Raw_Data!N296="", 0, IF(Raw_Data!N296&gt;1, Raw_Data!N296/100, Raw_Data!N296)), 0)</f>
        <v>0.1</v>
      </c>
      <c r="F300" s="15">
        <f>IFERROR(VALUE(Raw_Data!O296), Raw_Data!L296*Raw_Data!M296)</f>
        <v>8087.4</v>
      </c>
    </row>
    <row r="301" spans="2:6" x14ac:dyDescent="0.35">
      <c r="B301" s="13" t="s">
        <v>389</v>
      </c>
      <c r="C301" s="15" t="str">
        <f t="shared" si="4"/>
        <v>Ahmed Khan</v>
      </c>
      <c r="D301" s="17">
        <v>0.15</v>
      </c>
      <c r="E301" s="15">
        <f>IFERROR(IF(Raw_Data!N297="", 0, IF(Raw_Data!N297&gt;1, Raw_Data!N297/100, Raw_Data!N297)), 0)</f>
        <v>0.15</v>
      </c>
      <c r="F301" s="15">
        <f>IFERROR(VALUE(Raw_Data!O297), Raw_Data!L297*Raw_Data!M297)</f>
        <v>2129.8200000000002</v>
      </c>
    </row>
    <row r="302" spans="2:6" x14ac:dyDescent="0.35">
      <c r="B302" s="13" t="s">
        <v>570</v>
      </c>
      <c r="C302" s="15" t="str">
        <f t="shared" si="4"/>
        <v>Tariq Raza</v>
      </c>
      <c r="D302" s="17">
        <v>0.15</v>
      </c>
      <c r="E302" s="15">
        <f>IFERROR(IF(Raw_Data!N298="", 0, IF(Raw_Data!N298&gt;1, Raw_Data!N298/100, Raw_Data!N298)), 0)</f>
        <v>0.15</v>
      </c>
      <c r="F302" s="15">
        <f>IFERROR(VALUE(Raw_Data!O298), Raw_Data!L298*Raw_Data!M298)</f>
        <v>3487.7</v>
      </c>
    </row>
    <row r="303" spans="2:6" x14ac:dyDescent="0.35">
      <c r="B303" s="13" t="s">
        <v>89</v>
      </c>
      <c r="C303" s="15" t="str">
        <f t="shared" si="4"/>
        <v>Hina Khan</v>
      </c>
      <c r="D303" s="17">
        <v>0.3</v>
      </c>
      <c r="E303" s="15">
        <f>IFERROR(IF(Raw_Data!N299="", 0, IF(Raw_Data!N299&gt;1, Raw_Data!N299/100, Raw_Data!N299)), 0)</f>
        <v>0.3</v>
      </c>
      <c r="F303" s="15">
        <f>IFERROR(VALUE(Raw_Data!O299), Raw_Data!L299*Raw_Data!M299)</f>
        <v>874.2</v>
      </c>
    </row>
    <row r="304" spans="2:6" x14ac:dyDescent="0.35">
      <c r="B304" s="13" t="s">
        <v>415</v>
      </c>
      <c r="C304" s="15" t="str">
        <f t="shared" si="4"/>
        <v>Rabia Malik</v>
      </c>
      <c r="D304" s="17">
        <v>0.2</v>
      </c>
      <c r="E304" s="15">
        <f>IFERROR(IF(Raw_Data!N300="", 0, IF(Raw_Data!N300&gt;1, Raw_Data!N300/100, Raw_Data!N300)), 0)</f>
        <v>0.2</v>
      </c>
      <c r="F304" s="15">
        <f>IFERROR(VALUE(Raw_Data!O300), Raw_Data!L300*Raw_Data!M300)</f>
        <v>5488.84</v>
      </c>
    </row>
    <row r="305" spans="2:6" x14ac:dyDescent="0.35">
      <c r="B305" s="13" t="s">
        <v>574</v>
      </c>
      <c r="C305" s="15" t="str">
        <f t="shared" si="4"/>
        <v>Bilal Sheikh</v>
      </c>
      <c r="D305" s="17">
        <v>0</v>
      </c>
      <c r="E305" s="15">
        <f>IFERROR(IF(Raw_Data!N301="", 0, IF(Raw_Data!N301&gt;1, Raw_Data!N301/100, Raw_Data!N301)), 0)</f>
        <v>0</v>
      </c>
      <c r="F305" s="15">
        <f>IFERROR(VALUE(Raw_Data!O301), Raw_Data!L301*Raw_Data!M301)</f>
        <v>272.14</v>
      </c>
    </row>
    <row r="306" spans="2:6" x14ac:dyDescent="0.35">
      <c r="B306" s="13" t="s">
        <v>576</v>
      </c>
      <c r="C306" s="15" t="str">
        <f t="shared" si="4"/>
        <v>Rabia Sheikh</v>
      </c>
      <c r="D306" s="17">
        <v>0.2</v>
      </c>
      <c r="E306" s="15">
        <f>IFERROR(IF(Raw_Data!N302="", 0, IF(Raw_Data!N302&gt;1, Raw_Data!N302/100, Raw_Data!N302)), 0)</f>
        <v>0.2</v>
      </c>
      <c r="F306" s="15">
        <f>IFERROR(VALUE(Raw_Data!O302), Raw_Data!L302*Raw_Data!M302)</f>
        <v>150.66</v>
      </c>
    </row>
    <row r="307" spans="2:6" x14ac:dyDescent="0.35">
      <c r="B307" s="13" t="s">
        <v>193</v>
      </c>
      <c r="C307" s="15" t="str">
        <f t="shared" si="4"/>
        <v>Sana Butt</v>
      </c>
      <c r="D307" s="17">
        <v>0.3</v>
      </c>
      <c r="E307" s="15">
        <f>IFERROR(IF(Raw_Data!N303="", 0, IF(Raw_Data!N303&gt;1, Raw_Data!N303/100, Raw_Data!N303)), 0)</f>
        <v>0.3</v>
      </c>
      <c r="F307" s="15">
        <f>IFERROR(VALUE(Raw_Data!O303), Raw_Data!L303*Raw_Data!M303)</f>
        <v>4413.6000000000004</v>
      </c>
    </row>
    <row r="308" spans="2:6" x14ac:dyDescent="0.35">
      <c r="B308" s="13" t="s">
        <v>579</v>
      </c>
      <c r="C308" s="15" t="str">
        <f t="shared" si="4"/>
        <v>Kamran Farooq</v>
      </c>
      <c r="D308" s="17">
        <v>0</v>
      </c>
      <c r="E308" s="15">
        <f>IFERROR(IF(Raw_Data!N304="", 0, IF(Raw_Data!N304&gt;1, Raw_Data!N304/100, Raw_Data!N304)), 0)</f>
        <v>0</v>
      </c>
      <c r="F308" s="15">
        <f>IFERROR(VALUE(Raw_Data!O304), Raw_Data!L304*Raw_Data!M304)</f>
        <v>745.84</v>
      </c>
    </row>
    <row r="309" spans="2:6" x14ac:dyDescent="0.35">
      <c r="B309" s="13" t="s">
        <v>122</v>
      </c>
      <c r="C309" s="15" t="str">
        <f t="shared" si="4"/>
        <v>Hina Malik</v>
      </c>
      <c r="D309" s="17">
        <v>0</v>
      </c>
      <c r="E309" s="15">
        <f>IFERROR(IF(Raw_Data!N305="", 0, IF(Raw_Data!N305&gt;1, Raw_Data!N305/100, Raw_Data!N305)), 0)</f>
        <v>0</v>
      </c>
      <c r="F309" s="15">
        <f>IFERROR(VALUE(Raw_Data!O305), Raw_Data!L305*Raw_Data!M305)</f>
        <v>399.96</v>
      </c>
    </row>
    <row r="310" spans="2:6" x14ac:dyDescent="0.35">
      <c r="B310" s="13" t="s">
        <v>143</v>
      </c>
      <c r="C310" s="15" t="str">
        <f t="shared" si="4"/>
        <v>Zara Sheikh</v>
      </c>
      <c r="D310" s="17">
        <v>0.2</v>
      </c>
      <c r="E310" s="15">
        <f>IFERROR(IF(Raw_Data!N306="", 0, IF(Raw_Data!N306&gt;1, Raw_Data!N306/100, Raw_Data!N306)), 0)</f>
        <v>0.2</v>
      </c>
      <c r="F310" s="15">
        <f>IFERROR(VALUE(Raw_Data!O306), Raw_Data!L306*Raw_Data!M306)</f>
        <v>5226.2</v>
      </c>
    </row>
    <row r="311" spans="2:6" x14ac:dyDescent="0.35">
      <c r="B311" s="13" t="s">
        <v>386</v>
      </c>
      <c r="C311" s="15" t="str">
        <f t="shared" si="4"/>
        <v>Tariq Farooq</v>
      </c>
      <c r="D311" s="17">
        <v>0.15</v>
      </c>
      <c r="E311" s="15">
        <f>IFERROR(IF(Raw_Data!N307="", 0, IF(Raw_Data!N307&gt;1, Raw_Data!N307/100, Raw_Data!N307)), 0)</f>
        <v>0.15</v>
      </c>
      <c r="F311" s="15">
        <f>IFERROR(VALUE(Raw_Data!O307), Raw_Data!L307*Raw_Data!M307)</f>
        <v>374.57</v>
      </c>
    </row>
    <row r="312" spans="2:6" x14ac:dyDescent="0.35">
      <c r="B312" s="13" t="s">
        <v>544</v>
      </c>
      <c r="C312" s="15" t="str">
        <f t="shared" si="4"/>
        <v>Bilal Malik</v>
      </c>
      <c r="D312" s="17">
        <v>0</v>
      </c>
      <c r="E312" s="15">
        <f>IFERROR(IF(Raw_Data!N308="", 0, IF(Raw_Data!N308&gt;1, Raw_Data!N308/100, Raw_Data!N308)), 0)</f>
        <v>0</v>
      </c>
      <c r="F312" s="15">
        <f>IFERROR(VALUE(Raw_Data!O308), Raw_Data!L308*Raw_Data!M308)</f>
        <v>1667.46</v>
      </c>
    </row>
    <row r="313" spans="2:6" x14ac:dyDescent="0.35">
      <c r="B313" s="13" t="s">
        <v>437</v>
      </c>
      <c r="C313" s="15" t="str">
        <f t="shared" si="4"/>
        <v>Bilal Raza</v>
      </c>
      <c r="D313" s="17">
        <v>0.2</v>
      </c>
      <c r="E313" s="15">
        <f>IFERROR(IF(Raw_Data!N309="", 0, IF(Raw_Data!N309&gt;1, Raw_Data!N309/100, Raw_Data!N309)), 0)</f>
        <v>0.2</v>
      </c>
      <c r="F313" s="15">
        <f>IFERROR(VALUE(Raw_Data!O309), Raw_Data!L309*Raw_Data!M309)</f>
        <v>154.97999999999999</v>
      </c>
    </row>
    <row r="314" spans="2:6" x14ac:dyDescent="0.35">
      <c r="B314" s="13" t="s">
        <v>453</v>
      </c>
      <c r="C314" s="15" t="str">
        <f t="shared" si="4"/>
        <v>Adeel Khan</v>
      </c>
      <c r="D314" s="17">
        <v>0.3</v>
      </c>
      <c r="E314" s="15">
        <f>IFERROR(IF(Raw_Data!N310="", 0, IF(Raw_Data!N310&gt;1, Raw_Data!N310/100, Raw_Data!N310)), 0)</f>
        <v>0.3</v>
      </c>
      <c r="F314" s="15">
        <f>IFERROR(VALUE(Raw_Data!O310), Raw_Data!L310*Raw_Data!M310)</f>
        <v>4718.3999999999996</v>
      </c>
    </row>
    <row r="315" spans="2:6" x14ac:dyDescent="0.35">
      <c r="B315" s="13" t="s">
        <v>149</v>
      </c>
      <c r="C315" s="15" t="str">
        <f t="shared" si="4"/>
        <v>Usman Butt</v>
      </c>
      <c r="D315" s="17">
        <v>0</v>
      </c>
      <c r="E315" s="15">
        <f>IFERROR(IF(Raw_Data!N311="", 0, IF(Raw_Data!N311&gt;1, Raw_Data!N311/100, Raw_Data!N311)), 0)</f>
        <v>0</v>
      </c>
      <c r="F315" s="15">
        <f>IFERROR(VALUE(Raw_Data!O311), Raw_Data!L311*Raw_Data!M311)</f>
        <v>2381.61</v>
      </c>
    </row>
    <row r="316" spans="2:6" x14ac:dyDescent="0.35">
      <c r="B316" s="13" t="s">
        <v>287</v>
      </c>
      <c r="C316" s="15" t="str">
        <f t="shared" si="4"/>
        <v>Fatima Chaudhry</v>
      </c>
      <c r="D316" s="17">
        <v>0.3</v>
      </c>
      <c r="E316" s="15">
        <f>IFERROR(IF(Raw_Data!N312="", 0, IF(Raw_Data!N312&gt;1, Raw_Data!N312/100, Raw_Data!N312)), 0)</f>
        <v>0.3</v>
      </c>
      <c r="F316" s="15">
        <f>IFERROR(VALUE(Raw_Data!O312), Raw_Data!L312*Raw_Data!M312)</f>
        <v>1124.24</v>
      </c>
    </row>
    <row r="317" spans="2:6" x14ac:dyDescent="0.35">
      <c r="B317" s="13" t="s">
        <v>589</v>
      </c>
      <c r="C317" s="15" t="str">
        <f t="shared" si="4"/>
        <v>Mahnoor Raza</v>
      </c>
      <c r="D317" s="17">
        <v>0.1</v>
      </c>
      <c r="E317" s="15">
        <f>IFERROR(IF(Raw_Data!N313="", 0, IF(Raw_Data!N313&gt;1, Raw_Data!N313/100, Raw_Data!N313)), 0)</f>
        <v>0.1</v>
      </c>
      <c r="F317" s="15">
        <f>IFERROR(VALUE(Raw_Data!O313), Raw_Data!L313*Raw_Data!M313)</f>
        <v>5576.4</v>
      </c>
    </row>
    <row r="318" spans="2:6" x14ac:dyDescent="0.35">
      <c r="B318" s="13" t="s">
        <v>570</v>
      </c>
      <c r="C318" s="15" t="str">
        <f t="shared" si="4"/>
        <v>Tariq Raza</v>
      </c>
      <c r="D318" s="17">
        <v>0.2</v>
      </c>
      <c r="E318" s="15">
        <f>IFERROR(IF(Raw_Data!N314="", 0, IF(Raw_Data!N314&gt;1, Raw_Data!N314/100, Raw_Data!N314)), 0)</f>
        <v>0.2</v>
      </c>
      <c r="F318" s="15">
        <f>IFERROR(VALUE(Raw_Data!O314), Raw_Data!L314*Raw_Data!M314)</f>
        <v>1689.8</v>
      </c>
    </row>
    <row r="319" spans="2:6" x14ac:dyDescent="0.35">
      <c r="B319" s="13" t="s">
        <v>316</v>
      </c>
      <c r="C319" s="15" t="str">
        <f t="shared" si="4"/>
        <v>Ali Farooq</v>
      </c>
      <c r="D319" s="17">
        <v>0.1</v>
      </c>
      <c r="E319" s="15">
        <f>IFERROR(IF(Raw_Data!N315="", 0, IF(Raw_Data!N315&gt;1, Raw_Data!N315/100, Raw_Data!N315)), 0)</f>
        <v>0.1</v>
      </c>
      <c r="F319" s="15">
        <f>IFERROR(VALUE(Raw_Data!O315), Raw_Data!L315*Raw_Data!M315)</f>
        <v>734.48</v>
      </c>
    </row>
    <row r="320" spans="2:6" x14ac:dyDescent="0.35">
      <c r="B320" s="13" t="s">
        <v>492</v>
      </c>
      <c r="C320" s="15" t="str">
        <f t="shared" si="4"/>
        <v>Sara Sheikh</v>
      </c>
      <c r="D320" s="17">
        <v>0</v>
      </c>
      <c r="E320" s="15">
        <f>IFERROR(IF(Raw_Data!N316="", 0, IF(Raw_Data!N316&gt;1, Raw_Data!N316/100, Raw_Data!N316)), 0)</f>
        <v>0</v>
      </c>
      <c r="F320" s="15">
        <f>IFERROR(VALUE(Raw_Data!O316), Raw_Data!L316*Raw_Data!M316)</f>
        <v>4420.57</v>
      </c>
    </row>
    <row r="321" spans="2:6" x14ac:dyDescent="0.35">
      <c r="B321" s="13" t="s">
        <v>510</v>
      </c>
      <c r="C321" s="15" t="str">
        <f t="shared" si="4"/>
        <v>Hassan Iqbal</v>
      </c>
      <c r="D321" s="17">
        <v>0.15</v>
      </c>
      <c r="E321" s="15">
        <f>IFERROR(IF(Raw_Data!N317="", 0, IF(Raw_Data!N317&gt;1, Raw_Data!N317/100, Raw_Data!N317)), 0)</f>
        <v>0.15</v>
      </c>
      <c r="F321" s="15">
        <f>IFERROR(VALUE(Raw_Data!O317), Raw_Data!L317*Raw_Data!M317)</f>
        <v>3120.95</v>
      </c>
    </row>
    <row r="322" spans="2:6" x14ac:dyDescent="0.35">
      <c r="B322" s="13" t="s">
        <v>445</v>
      </c>
      <c r="C322" s="15" t="str">
        <f t="shared" si="4"/>
        <v>Hassan Sheikh</v>
      </c>
      <c r="D322" s="17">
        <v>0</v>
      </c>
      <c r="E322" s="15">
        <f>IFERROR(IF(Raw_Data!N318="", 0, IF(Raw_Data!N318&gt;1, Raw_Data!N318/100, Raw_Data!N318)), 0)</f>
        <v>0</v>
      </c>
      <c r="F322" s="15">
        <f>IFERROR(VALUE(Raw_Data!O318), Raw_Data!L318*Raw_Data!M318)</f>
        <v>1288.7</v>
      </c>
    </row>
    <row r="323" spans="2:6" x14ac:dyDescent="0.35">
      <c r="B323" s="13" t="s">
        <v>324</v>
      </c>
      <c r="C323" s="15" t="str">
        <f t="shared" si="4"/>
        <v>Hassan Butt</v>
      </c>
      <c r="D323" s="17">
        <v>0.3</v>
      </c>
      <c r="E323" s="15">
        <f>IFERROR(IF(Raw_Data!N319="", 0, IF(Raw_Data!N319&gt;1, Raw_Data!N319/100, Raw_Data!N319)), 0)</f>
        <v>0.3</v>
      </c>
      <c r="F323" s="15">
        <f>IFERROR(VALUE(Raw_Data!O319), Raw_Data!L319*Raw_Data!M319)</f>
        <v>891</v>
      </c>
    </row>
    <row r="324" spans="2:6" x14ac:dyDescent="0.35">
      <c r="B324" s="13" t="s">
        <v>85</v>
      </c>
      <c r="C324" s="15" t="str">
        <f t="shared" si="4"/>
        <v>Ahmed Malik</v>
      </c>
      <c r="D324" s="17">
        <v>0</v>
      </c>
      <c r="E324" s="15">
        <f>IFERROR(IF(Raw_Data!N320="", 0, IF(Raw_Data!N320&gt;1, Raw_Data!N320/100, Raw_Data!N320)), 0)</f>
        <v>0</v>
      </c>
      <c r="F324" s="15">
        <f>IFERROR(VALUE(Raw_Data!O320), Raw_Data!L320*Raw_Data!M320)</f>
        <v>3201.59</v>
      </c>
    </row>
    <row r="325" spans="2:6" x14ac:dyDescent="0.35">
      <c r="B325" s="13" t="s">
        <v>297</v>
      </c>
      <c r="C325" s="15" t="str">
        <f t="shared" si="4"/>
        <v>Kamran Malik</v>
      </c>
      <c r="D325" s="17">
        <v>0.1</v>
      </c>
      <c r="E325" s="15">
        <f>IFERROR(IF(Raw_Data!N321="", 0, IF(Raw_Data!N321&gt;1, Raw_Data!N321/100, Raw_Data!N321)), 0)</f>
        <v>0.1</v>
      </c>
      <c r="F325" s="15">
        <f>IFERROR(VALUE(Raw_Data!O321), Raw_Data!L321*Raw_Data!M321)</f>
        <v>2680.8</v>
      </c>
    </row>
    <row r="326" spans="2:6" x14ac:dyDescent="0.35">
      <c r="B326" s="13" t="s">
        <v>599</v>
      </c>
      <c r="C326" s="15" t="str">
        <f t="shared" si="4"/>
        <v>Ayesha Malik</v>
      </c>
      <c r="D326" s="17">
        <v>0.15</v>
      </c>
      <c r="E326" s="15">
        <f>IFERROR(IF(Raw_Data!N322="", 0, IF(Raw_Data!N322&gt;1, Raw_Data!N322/100, Raw_Data!N322)), 0)</f>
        <v>0.15</v>
      </c>
      <c r="F326" s="15">
        <f>IFERROR(VALUE(Raw_Data!O322), Raw_Data!L322*Raw_Data!M322)</f>
        <v>1375.5</v>
      </c>
    </row>
    <row r="327" spans="2:6" x14ac:dyDescent="0.35">
      <c r="B327" s="13" t="s">
        <v>269</v>
      </c>
      <c r="C327" s="15" t="str">
        <f t="shared" ref="C327:C390" si="5">IF(OR(B327="",B327=0), "Unknown Customer", PROPER(TRIM(B327)))</f>
        <v>Imran Khan</v>
      </c>
      <c r="D327" s="17">
        <v>0.1</v>
      </c>
      <c r="E327" s="15">
        <f>IFERROR(IF(Raw_Data!N323="", 0, IF(Raw_Data!N323&gt;1, Raw_Data!N323/100, Raw_Data!N323)), 0)</f>
        <v>0.1</v>
      </c>
      <c r="F327" s="15">
        <f>IFERROR(VALUE(Raw_Data!O323), Raw_Data!L323*Raw_Data!M323)</f>
        <v>5428.57</v>
      </c>
    </row>
    <row r="328" spans="2:6" x14ac:dyDescent="0.35">
      <c r="B328" s="13" t="s">
        <v>518</v>
      </c>
      <c r="C328" s="15" t="str">
        <f t="shared" si="5"/>
        <v>Sana Qureshi</v>
      </c>
      <c r="D328" s="17">
        <v>0</v>
      </c>
      <c r="E328" s="15">
        <f>IFERROR(IF(Raw_Data!N324="", 0, IF(Raw_Data!N324&gt;1, Raw_Data!N324/100, Raw_Data!N324)), 0)</f>
        <v>0</v>
      </c>
      <c r="F328" s="15">
        <f>IFERROR(VALUE(Raw_Data!O324), Raw_Data!L324*Raw_Data!M324)</f>
        <v>1680.3</v>
      </c>
    </row>
    <row r="329" spans="2:6" x14ac:dyDescent="0.35">
      <c r="B329" s="13" t="s">
        <v>122</v>
      </c>
      <c r="C329" s="15" t="str">
        <f t="shared" si="5"/>
        <v>Hina Malik</v>
      </c>
      <c r="D329" s="17">
        <v>0.15</v>
      </c>
      <c r="E329" s="15">
        <f>IFERROR(IF(Raw_Data!N325="", 0, IF(Raw_Data!N325&gt;1, Raw_Data!N325/100, Raw_Data!N325)), 0)</f>
        <v>0.15</v>
      </c>
      <c r="F329" s="15">
        <f>IFERROR(VALUE(Raw_Data!O325), Raw_Data!L325*Raw_Data!M325)</f>
        <v>4055.92</v>
      </c>
    </row>
    <row r="330" spans="2:6" x14ac:dyDescent="0.35">
      <c r="B330" s="13" t="s">
        <v>200</v>
      </c>
      <c r="C330" s="15" t="str">
        <f t="shared" si="5"/>
        <v>Nida Malik</v>
      </c>
      <c r="D330" s="17">
        <v>0</v>
      </c>
      <c r="E330" s="15">
        <f>IFERROR(IF(Raw_Data!N326="", 0, IF(Raw_Data!N326&gt;1, Raw_Data!N326/100, Raw_Data!N326)), 0)</f>
        <v>0</v>
      </c>
      <c r="F330" s="15">
        <f>IFERROR(VALUE(Raw_Data!O326), Raw_Data!L326*Raw_Data!M326)</f>
        <v>1235.76</v>
      </c>
    </row>
    <row r="331" spans="2:6" x14ac:dyDescent="0.35">
      <c r="B331" s="13" t="s">
        <v>400</v>
      </c>
      <c r="C331" s="15" t="str">
        <f t="shared" si="5"/>
        <v>Sana Chaudhry</v>
      </c>
      <c r="D331" s="17">
        <v>0</v>
      </c>
      <c r="E331" s="15">
        <f>IFERROR(IF(Raw_Data!N327="", 0, IF(Raw_Data!N327&gt;1, Raw_Data!N327/100, Raw_Data!N327)), 0)</f>
        <v>0</v>
      </c>
      <c r="F331" s="15">
        <f>IFERROR(VALUE(Raw_Data!O327), Raw_Data!L327*Raw_Data!M327)</f>
        <v>4074.62</v>
      </c>
    </row>
    <row r="332" spans="2:6" x14ac:dyDescent="0.35">
      <c r="B332" s="13" t="s">
        <v>492</v>
      </c>
      <c r="C332" s="15" t="str">
        <f t="shared" si="5"/>
        <v>Sara Sheikh</v>
      </c>
      <c r="D332" s="17">
        <v>0</v>
      </c>
      <c r="E332" s="15">
        <f>IFERROR(IF(Raw_Data!N328="", 0, IF(Raw_Data!N328&gt;1, Raw_Data!N328/100, Raw_Data!N328)), 0)</f>
        <v>0</v>
      </c>
      <c r="F332" s="15">
        <f>IFERROR(VALUE(Raw_Data!O328), Raw_Data!L328*Raw_Data!M328)</f>
        <v>1699.08</v>
      </c>
    </row>
    <row r="333" spans="2:6" x14ac:dyDescent="0.35">
      <c r="B333" s="13" t="s">
        <v>474</v>
      </c>
      <c r="C333" s="15" t="str">
        <f t="shared" si="5"/>
        <v>Ayesha Chaudhry</v>
      </c>
      <c r="D333" s="17">
        <v>0.3</v>
      </c>
      <c r="E333" s="15">
        <f>IFERROR(IF(Raw_Data!N329="", 0, IF(Raw_Data!N329&gt;1, Raw_Data!N329/100, Raw_Data!N329)), 0)</f>
        <v>0.3</v>
      </c>
      <c r="F333" s="15">
        <f>IFERROR(VALUE(Raw_Data!O329), Raw_Data!L329*Raw_Data!M329)</f>
        <v>2658.3</v>
      </c>
    </row>
    <row r="334" spans="2:6" x14ac:dyDescent="0.35">
      <c r="B334" s="13" t="s">
        <v>207</v>
      </c>
      <c r="C334" s="15" t="str">
        <f t="shared" si="5"/>
        <v>Kamran Butt</v>
      </c>
      <c r="D334" s="17">
        <v>0</v>
      </c>
      <c r="E334" s="15">
        <f>IFERROR(IF(Raw_Data!N330="", 0, IF(Raw_Data!N330&gt;1, Raw_Data!N330/100, Raw_Data!N330)), 0)</f>
        <v>0</v>
      </c>
      <c r="F334" s="15">
        <f>IFERROR(VALUE(Raw_Data!O330), Raw_Data!L330*Raw_Data!M330)</f>
        <v>4682.04</v>
      </c>
    </row>
    <row r="335" spans="2:6" x14ac:dyDescent="0.35">
      <c r="B335" s="13" t="s">
        <v>469</v>
      </c>
      <c r="C335" s="15" t="str">
        <f t="shared" si="5"/>
        <v>Tariq Chaudhry</v>
      </c>
      <c r="D335" s="17">
        <v>0.3</v>
      </c>
      <c r="E335" s="15">
        <f>IFERROR(IF(Raw_Data!N331="", 0, IF(Raw_Data!N331&gt;1, Raw_Data!N331/100, Raw_Data!N331)), 0)</f>
        <v>0.3</v>
      </c>
      <c r="F335" s="15">
        <f>IFERROR(VALUE(Raw_Data!O331), Raw_Data!L331*Raw_Data!M331)</f>
        <v>6588.84</v>
      </c>
    </row>
    <row r="336" spans="2:6" x14ac:dyDescent="0.35">
      <c r="B336" s="13" t="s">
        <v>139</v>
      </c>
      <c r="C336" s="15" t="str">
        <f t="shared" si="5"/>
        <v>Tariq Malik</v>
      </c>
      <c r="D336" s="17">
        <v>0</v>
      </c>
      <c r="E336" s="15">
        <f>IFERROR(IF(Raw_Data!N332="", 0, IF(Raw_Data!N332&gt;1, Raw_Data!N332/100, Raw_Data!N332)), 0)</f>
        <v>0</v>
      </c>
      <c r="F336" s="15">
        <f>IFERROR(VALUE(Raw_Data!O332), Raw_Data!L332*Raw_Data!M332)</f>
        <v>1625.64</v>
      </c>
    </row>
    <row r="337" spans="2:6" x14ac:dyDescent="0.35">
      <c r="B337" s="13" t="s">
        <v>437</v>
      </c>
      <c r="C337" s="15" t="str">
        <f t="shared" si="5"/>
        <v>Bilal Raza</v>
      </c>
      <c r="D337" s="17">
        <v>0</v>
      </c>
      <c r="E337" s="15">
        <f>IFERROR(IF(Raw_Data!N333="", 0, IF(Raw_Data!N333&gt;1, Raw_Data!N333/100, Raw_Data!N333)), 0)</f>
        <v>0</v>
      </c>
      <c r="F337" s="15">
        <f>IFERROR(VALUE(Raw_Data!O333), Raw_Data!L333*Raw_Data!M333)</f>
        <v>3905.44</v>
      </c>
    </row>
    <row r="338" spans="2:6" x14ac:dyDescent="0.35">
      <c r="B338" s="13" t="s">
        <v>207</v>
      </c>
      <c r="C338" s="15" t="str">
        <f t="shared" si="5"/>
        <v>Kamran Butt</v>
      </c>
      <c r="D338" s="17">
        <v>0</v>
      </c>
      <c r="E338" s="15">
        <f>IFERROR(IF(Raw_Data!N334="", 0, IF(Raw_Data!N334&gt;1, Raw_Data!N334/100, Raw_Data!N334)), 0)</f>
        <v>0</v>
      </c>
      <c r="F338" s="15">
        <f>IFERROR(VALUE(Raw_Data!O334), Raw_Data!L334*Raw_Data!M334)</f>
        <v>2356.04</v>
      </c>
    </row>
    <row r="339" spans="2:6" x14ac:dyDescent="0.35">
      <c r="B339" s="13" t="s">
        <v>613</v>
      </c>
      <c r="C339" s="15" t="str">
        <f t="shared" si="5"/>
        <v>Omar Butt</v>
      </c>
      <c r="D339" s="17">
        <v>0</v>
      </c>
      <c r="E339" s="15">
        <f>IFERROR(IF(Raw_Data!N335="", 0, IF(Raw_Data!N335&gt;1, Raw_Data!N335/100, Raw_Data!N335)), 0)</f>
        <v>0</v>
      </c>
      <c r="F339" s="15">
        <f>IFERROR(VALUE(Raw_Data!O335), Raw_Data!L335*Raw_Data!M335)</f>
        <v>442.7</v>
      </c>
    </row>
    <row r="340" spans="2:6" x14ac:dyDescent="0.35">
      <c r="B340" s="13" t="s">
        <v>615</v>
      </c>
      <c r="C340" s="15" t="str">
        <f t="shared" si="5"/>
        <v>Bilal Qureshi</v>
      </c>
      <c r="D340" s="17">
        <v>0</v>
      </c>
      <c r="E340" s="15">
        <f>IFERROR(IF(Raw_Data!N336="", 0, IF(Raw_Data!N336&gt;1, Raw_Data!N336/100, Raw_Data!N336)), 0)</f>
        <v>0</v>
      </c>
      <c r="F340" s="15">
        <f>IFERROR(VALUE(Raw_Data!O336), Raw_Data!L336*Raw_Data!M336)</f>
        <v>2576.6999999999998</v>
      </c>
    </row>
    <row r="341" spans="2:6" x14ac:dyDescent="0.35">
      <c r="B341" s="13" t="s">
        <v>617</v>
      </c>
      <c r="C341" s="15" t="str">
        <f t="shared" si="5"/>
        <v>Nida Qureshi</v>
      </c>
      <c r="D341" s="17">
        <v>0.15</v>
      </c>
      <c r="E341" s="15">
        <f>IFERROR(IF(Raw_Data!N337="", 0, IF(Raw_Data!N337&gt;1, Raw_Data!N337/100, Raw_Data!N337)), 0)</f>
        <v>0.15</v>
      </c>
      <c r="F341" s="15">
        <f>IFERROR(VALUE(Raw_Data!O337), Raw_Data!L337*Raw_Data!M337)</f>
        <v>9109.56</v>
      </c>
    </row>
    <row r="342" spans="2:6" x14ac:dyDescent="0.35">
      <c r="B342" s="13" t="s">
        <v>551</v>
      </c>
      <c r="C342" s="15" t="str">
        <f t="shared" si="5"/>
        <v>Kamran Chaudhry</v>
      </c>
      <c r="D342" s="17">
        <v>0</v>
      </c>
      <c r="E342" s="15">
        <f>IFERROR(IF(Raw_Data!N338="", 0, IF(Raw_Data!N338&gt;1, Raw_Data!N338/100, Raw_Data!N338)), 0)</f>
        <v>0</v>
      </c>
      <c r="F342" s="15">
        <f>IFERROR(VALUE(Raw_Data!O338), Raw_Data!L338*Raw_Data!M338)</f>
        <v>2354.4499999999998</v>
      </c>
    </row>
    <row r="343" spans="2:6" x14ac:dyDescent="0.35">
      <c r="B343" s="13" t="s">
        <v>71</v>
      </c>
      <c r="C343" s="15" t="str">
        <f t="shared" si="5"/>
        <v>Nida Khan</v>
      </c>
      <c r="D343" s="17">
        <v>0.2</v>
      </c>
      <c r="E343" s="15">
        <f>IFERROR(IF(Raw_Data!N339="", 0, IF(Raw_Data!N339&gt;1, Raw_Data!N339/100, Raw_Data!N339)), 0)</f>
        <v>0.2</v>
      </c>
      <c r="F343" s="15">
        <f>IFERROR(VALUE(Raw_Data!O339), Raw_Data!L339*Raw_Data!M339)</f>
        <v>482.74</v>
      </c>
    </row>
    <row r="344" spans="2:6" x14ac:dyDescent="0.35">
      <c r="B344" s="13" t="s">
        <v>131</v>
      </c>
      <c r="C344" s="15" t="str">
        <f t="shared" si="5"/>
        <v>Ahmed Iqbal</v>
      </c>
      <c r="D344" s="17">
        <v>0</v>
      </c>
      <c r="E344" s="15">
        <f>IFERROR(IF(Raw_Data!N340="", 0, IF(Raw_Data!N340&gt;1, Raw_Data!N340/100, Raw_Data!N340)), 0)</f>
        <v>0</v>
      </c>
      <c r="F344" s="15">
        <f>IFERROR(VALUE(Raw_Data!O340), Raw_Data!L340*Raw_Data!M340)</f>
        <v>6207.03</v>
      </c>
    </row>
    <row r="345" spans="2:6" x14ac:dyDescent="0.35">
      <c r="B345" s="13" t="s">
        <v>276</v>
      </c>
      <c r="C345" s="15" t="str">
        <f t="shared" si="5"/>
        <v>Faisal Malik</v>
      </c>
      <c r="D345" s="17">
        <v>0.1</v>
      </c>
      <c r="E345" s="15">
        <f>IFERROR(IF(Raw_Data!N341="", 0, IF(Raw_Data!N341&gt;1, Raw_Data!N341/100, Raw_Data!N341)), 0)</f>
        <v>0.1</v>
      </c>
      <c r="F345" s="15">
        <f>IFERROR(VALUE(Raw_Data!O341), Raw_Data!L341*Raw_Data!M341)</f>
        <v>73.48</v>
      </c>
    </row>
    <row r="346" spans="2:6" x14ac:dyDescent="0.35">
      <c r="B346" s="13" t="s">
        <v>312</v>
      </c>
      <c r="C346" s="15" t="str">
        <f t="shared" si="5"/>
        <v>Usman Chaudhry</v>
      </c>
      <c r="D346" s="17">
        <v>0.3</v>
      </c>
      <c r="E346" s="15">
        <f>IFERROR(IF(Raw_Data!N342="", 0, IF(Raw_Data!N342&gt;1, Raw_Data!N342/100, Raw_Data!N342)), 0)</f>
        <v>0.3</v>
      </c>
      <c r="F346" s="15">
        <f>IFERROR(VALUE(Raw_Data!O342), Raw_Data!L342*Raw_Data!M342)</f>
        <v>1541.02</v>
      </c>
    </row>
    <row r="347" spans="2:6" x14ac:dyDescent="0.35">
      <c r="B347" s="13" t="s">
        <v>625</v>
      </c>
      <c r="C347" s="15" t="str">
        <f t="shared" si="5"/>
        <v>Hassan Malik</v>
      </c>
      <c r="D347" s="17">
        <v>0.3</v>
      </c>
      <c r="E347" s="15">
        <f>IFERROR(IF(Raw_Data!N343="", 0, IF(Raw_Data!N343&gt;1, Raw_Data!N343/100, Raw_Data!N343)), 0)</f>
        <v>0.3</v>
      </c>
      <c r="F347" s="15">
        <f>IFERROR(VALUE(Raw_Data!O343), Raw_Data!L343*Raw_Data!M343)</f>
        <v>2612.3200000000002</v>
      </c>
    </row>
    <row r="348" spans="2:6" x14ac:dyDescent="0.35">
      <c r="B348" s="13">
        <v>0</v>
      </c>
      <c r="C348" s="15" t="str">
        <f t="shared" si="5"/>
        <v>Unknown Customer</v>
      </c>
      <c r="D348" s="17">
        <v>0.15</v>
      </c>
      <c r="E348" s="15">
        <f>IFERROR(IF(Raw_Data!N344="", 0, IF(Raw_Data!N344&gt;1, Raw_Data!N344/100, Raw_Data!N344)), 0)</f>
        <v>0.15</v>
      </c>
      <c r="F348" s="15">
        <f>IFERROR(VALUE(Raw_Data!O344), Raw_Data!L344*Raw_Data!M344)</f>
        <v>480.68</v>
      </c>
    </row>
    <row r="349" spans="2:6" x14ac:dyDescent="0.35">
      <c r="B349" s="13" t="s">
        <v>408</v>
      </c>
      <c r="C349" s="15" t="str">
        <f t="shared" si="5"/>
        <v>Sara Iqbal</v>
      </c>
      <c r="D349" s="17">
        <v>0.2</v>
      </c>
      <c r="E349" s="15">
        <f>IFERROR(IF(Raw_Data!N345="", 0, IF(Raw_Data!N345&gt;1, Raw_Data!N345/100, Raw_Data!N345)), 0)</f>
        <v>0.2</v>
      </c>
      <c r="F349" s="15">
        <f>IFERROR(VALUE(Raw_Data!O345), Raw_Data!L345*Raw_Data!M345)</f>
        <v>6084.63</v>
      </c>
    </row>
    <row r="350" spans="2:6" x14ac:dyDescent="0.35">
      <c r="B350" s="13" t="s">
        <v>221</v>
      </c>
      <c r="C350" s="15" t="str">
        <f t="shared" si="5"/>
        <v>Bilal Chaudhry</v>
      </c>
      <c r="D350" s="17">
        <v>0.3</v>
      </c>
      <c r="E350" s="15">
        <f>IFERROR(IF(Raw_Data!N346="", 0, IF(Raw_Data!N346&gt;1, Raw_Data!N346/100, Raw_Data!N346)), 0)</f>
        <v>0.3</v>
      </c>
      <c r="F350" s="15">
        <f>IFERROR(VALUE(Raw_Data!O346), Raw_Data!L346*Raw_Data!M346)</f>
        <v>3486.12</v>
      </c>
    </row>
    <row r="351" spans="2:6" x14ac:dyDescent="0.35">
      <c r="B351" s="13" t="s">
        <v>631</v>
      </c>
      <c r="C351" s="15" t="str">
        <f t="shared" si="5"/>
        <v>Tariq Khan</v>
      </c>
      <c r="D351" s="17">
        <v>0</v>
      </c>
      <c r="E351" s="15">
        <f>IFERROR(IF(Raw_Data!N347="", 0, IF(Raw_Data!N347&gt;1, Raw_Data!N347/100, Raw_Data!N347)), 0)</f>
        <v>0</v>
      </c>
      <c r="F351" s="15">
        <f>IFERROR(VALUE(Raw_Data!O347), Raw_Data!L347*Raw_Data!M347)</f>
        <v>1655.4</v>
      </c>
    </row>
    <row r="352" spans="2:6" x14ac:dyDescent="0.35">
      <c r="B352" s="13" t="s">
        <v>151</v>
      </c>
      <c r="C352" s="15" t="str">
        <f t="shared" si="5"/>
        <v>Hina Butt</v>
      </c>
      <c r="D352" s="17">
        <v>0.3</v>
      </c>
      <c r="E352" s="15">
        <f>IFERROR(IF(Raw_Data!N348="", 0, IF(Raw_Data!N348&gt;1, Raw_Data!N348/100, Raw_Data!N348)), 0)</f>
        <v>0.3</v>
      </c>
      <c r="F352" s="15">
        <f>IFERROR(VALUE(Raw_Data!O348), Raw_Data!L348*Raw_Data!M348)</f>
        <v>2833.53</v>
      </c>
    </row>
    <row r="353" spans="2:6" x14ac:dyDescent="0.35">
      <c r="B353" s="13" t="s">
        <v>169</v>
      </c>
      <c r="C353" s="15" t="str">
        <f t="shared" si="5"/>
        <v>Kamran Ansari</v>
      </c>
      <c r="D353" s="17">
        <v>0.3</v>
      </c>
      <c r="E353" s="15">
        <f>IFERROR(IF(Raw_Data!N349="", 0, IF(Raw_Data!N349&gt;1, Raw_Data!N349/100, Raw_Data!N349)), 0)</f>
        <v>0.3</v>
      </c>
      <c r="F353" s="15">
        <f>IFERROR(VALUE(Raw_Data!O349), Raw_Data!L349*Raw_Data!M349)</f>
        <v>4292.1899999999996</v>
      </c>
    </row>
    <row r="354" spans="2:6" x14ac:dyDescent="0.35">
      <c r="B354" s="13" t="s">
        <v>558</v>
      </c>
      <c r="C354" s="15" t="str">
        <f t="shared" si="5"/>
        <v>Imran Qureshi</v>
      </c>
      <c r="D354" s="17">
        <v>0</v>
      </c>
      <c r="E354" s="15">
        <f>IFERROR(IF(Raw_Data!N350="", 0, IF(Raw_Data!N350&gt;1, Raw_Data!N350/100, Raw_Data!N350)), 0)</f>
        <v>0</v>
      </c>
      <c r="F354" s="15">
        <f>IFERROR(VALUE(Raw_Data!O350), Raw_Data!L350*Raw_Data!M350)</f>
        <v>689</v>
      </c>
    </row>
    <row r="355" spans="2:6" x14ac:dyDescent="0.35">
      <c r="B355" s="13" t="s">
        <v>637</v>
      </c>
      <c r="C355" s="15" t="str">
        <f t="shared" si="5"/>
        <v>Ayesha Iqbal</v>
      </c>
      <c r="D355" s="17">
        <v>0</v>
      </c>
      <c r="E355" s="15">
        <f>IFERROR(IF(Raw_Data!N351="", 0, IF(Raw_Data!N351&gt;1, Raw_Data!N351/100, Raw_Data!N351)), 0)</f>
        <v>0</v>
      </c>
      <c r="F355" s="15">
        <f>IFERROR(VALUE(Raw_Data!O351), Raw_Data!L351*Raw_Data!M351)</f>
        <v>3292.68</v>
      </c>
    </row>
    <row r="356" spans="2:6" x14ac:dyDescent="0.35">
      <c r="B356" s="13" t="s">
        <v>98</v>
      </c>
      <c r="C356" s="15" t="str">
        <f t="shared" si="5"/>
        <v>Sana Ansari</v>
      </c>
      <c r="D356" s="17">
        <v>0.1</v>
      </c>
      <c r="E356" s="15">
        <f>IFERROR(IF(Raw_Data!N352="", 0, IF(Raw_Data!N352&gt;1, Raw_Data!N352/100, Raw_Data!N352)), 0)</f>
        <v>0.1</v>
      </c>
      <c r="F356" s="15">
        <f>IFERROR(VALUE(Raw_Data!O352), Raw_Data!L352*Raw_Data!M352)</f>
        <v>4891.12</v>
      </c>
    </row>
    <row r="357" spans="2:6" x14ac:dyDescent="0.35">
      <c r="B357" s="13" t="s">
        <v>640</v>
      </c>
      <c r="C357" s="15" t="str">
        <f t="shared" si="5"/>
        <v>Rabia Iqbal</v>
      </c>
      <c r="D357" s="17">
        <v>0.3</v>
      </c>
      <c r="E357" s="15">
        <f>IFERROR(IF(Raw_Data!N353="", 0, IF(Raw_Data!N353&gt;1, Raw_Data!N353/100, Raw_Data!N353)), 0)</f>
        <v>0.3</v>
      </c>
      <c r="F357" s="15">
        <f>IFERROR(VALUE(Raw_Data!O353), Raw_Data!L353*Raw_Data!M353)</f>
        <v>392.64</v>
      </c>
    </row>
    <row r="358" spans="2:6" x14ac:dyDescent="0.35">
      <c r="B358" s="13" t="s">
        <v>158</v>
      </c>
      <c r="C358" s="15" t="str">
        <f t="shared" si="5"/>
        <v>Mahnoor Khan</v>
      </c>
      <c r="D358" s="17">
        <v>0</v>
      </c>
      <c r="E358" s="15">
        <f>IFERROR(IF(Raw_Data!N354="", 0, IF(Raw_Data!N354&gt;1, Raw_Data!N354/100, Raw_Data!N354)), 0)</f>
        <v>0</v>
      </c>
      <c r="F358" s="15">
        <f>IFERROR(VALUE(Raw_Data!O354), Raw_Data!L354*Raw_Data!M354)</f>
        <v>931.53</v>
      </c>
    </row>
    <row r="359" spans="2:6" x14ac:dyDescent="0.35">
      <c r="B359" s="13" t="s">
        <v>363</v>
      </c>
      <c r="C359" s="15" t="str">
        <f t="shared" si="5"/>
        <v>Bilal Iqbal</v>
      </c>
      <c r="D359" s="17">
        <v>0.15</v>
      </c>
      <c r="E359" s="15">
        <f>IFERROR(IF(Raw_Data!N355="", 0, IF(Raw_Data!N355&gt;1, Raw_Data!N355/100, Raw_Data!N355)), 0)</f>
        <v>0.15</v>
      </c>
      <c r="F359" s="15">
        <f>IFERROR(VALUE(Raw_Data!O355), Raw_Data!L355*Raw_Data!M355)</f>
        <v>3320.28</v>
      </c>
    </row>
    <row r="360" spans="2:6" x14ac:dyDescent="0.35">
      <c r="B360" s="13" t="s">
        <v>375</v>
      </c>
      <c r="C360" s="15" t="str">
        <f t="shared" si="5"/>
        <v>Sara Raza</v>
      </c>
      <c r="D360" s="17">
        <v>0</v>
      </c>
      <c r="E360" s="15">
        <f>IFERROR(IF(Raw_Data!N356="", 0, IF(Raw_Data!N356&gt;1, Raw_Data!N356/100, Raw_Data!N356)), 0)</f>
        <v>0</v>
      </c>
      <c r="F360" s="15">
        <f>IFERROR(VALUE(Raw_Data!O356), Raw_Data!L356*Raw_Data!M356)</f>
        <v>1127.32</v>
      </c>
    </row>
    <row r="361" spans="2:6" x14ac:dyDescent="0.35">
      <c r="B361" s="13" t="s">
        <v>408</v>
      </c>
      <c r="C361" s="15" t="str">
        <f t="shared" si="5"/>
        <v>Sara Iqbal</v>
      </c>
      <c r="D361" s="17">
        <v>0</v>
      </c>
      <c r="E361" s="15">
        <f>IFERROR(IF(Raw_Data!N357="", 0, IF(Raw_Data!N357&gt;1, Raw_Data!N357/100, Raw_Data!N357)), 0)</f>
        <v>0</v>
      </c>
      <c r="F361" s="15">
        <f>IFERROR(VALUE(Raw_Data!O357), Raw_Data!L357*Raw_Data!M357)</f>
        <v>326.7</v>
      </c>
    </row>
    <row r="362" spans="2:6" x14ac:dyDescent="0.35">
      <c r="B362" s="13" t="s">
        <v>373</v>
      </c>
      <c r="C362" s="15" t="str">
        <f t="shared" si="5"/>
        <v>Kamran Raza</v>
      </c>
      <c r="D362" s="17">
        <v>0</v>
      </c>
      <c r="E362" s="15">
        <f>IFERROR(IF(Raw_Data!N358="", 0, IF(Raw_Data!N358&gt;1, Raw_Data!N358/100, Raw_Data!N358)), 0)</f>
        <v>0</v>
      </c>
      <c r="F362" s="15">
        <f>IFERROR(VALUE(Raw_Data!O358), Raw_Data!L358*Raw_Data!M358)</f>
        <v>1248.4000000000001</v>
      </c>
    </row>
    <row r="363" spans="2:6" x14ac:dyDescent="0.35">
      <c r="B363" s="13" t="s">
        <v>312</v>
      </c>
      <c r="C363" s="15" t="str">
        <f t="shared" si="5"/>
        <v>Usman Chaudhry</v>
      </c>
      <c r="D363" s="17">
        <v>0</v>
      </c>
      <c r="E363" s="15">
        <f>IFERROR(IF(Raw_Data!N359="", 0, IF(Raw_Data!N359&gt;1, Raw_Data!N359/100, Raw_Data!N359)), 0)</f>
        <v>0</v>
      </c>
      <c r="F363" s="15">
        <f>IFERROR(VALUE(Raw_Data!O359), Raw_Data!L359*Raw_Data!M359)</f>
        <v>-765.8</v>
      </c>
    </row>
    <row r="364" spans="2:6" x14ac:dyDescent="0.35">
      <c r="B364" s="13" t="s">
        <v>202</v>
      </c>
      <c r="C364" s="15" t="str">
        <f t="shared" si="5"/>
        <v>Kamran Qureshi</v>
      </c>
      <c r="D364" s="17">
        <v>0</v>
      </c>
      <c r="E364" s="15">
        <f>IFERROR(IF(Raw_Data!N360="", 0, IF(Raw_Data!N360&gt;1, Raw_Data!N360/100, Raw_Data!N360)), 0)</f>
        <v>0</v>
      </c>
      <c r="F364" s="15">
        <f>IFERROR(VALUE(Raw_Data!O360), Raw_Data!L360*Raw_Data!M360)</f>
        <v>1396.58</v>
      </c>
    </row>
    <row r="365" spans="2:6" x14ac:dyDescent="0.35">
      <c r="B365" s="13" t="s">
        <v>523</v>
      </c>
      <c r="C365" s="15" t="str">
        <f t="shared" si="5"/>
        <v>Ahmed Butt</v>
      </c>
      <c r="D365" s="17">
        <v>0.3</v>
      </c>
      <c r="E365" s="15">
        <f>IFERROR(IF(Raw_Data!N361="", 0, IF(Raw_Data!N361&gt;1, Raw_Data!N361/100, Raw_Data!N361)), 0)</f>
        <v>0.3</v>
      </c>
      <c r="F365" s="15">
        <f>IFERROR(VALUE(Raw_Data!O361), Raw_Data!L361*Raw_Data!M361)</f>
        <v>2473.4499999999998</v>
      </c>
    </row>
    <row r="366" spans="2:6" x14ac:dyDescent="0.35">
      <c r="B366" s="13" t="s">
        <v>340</v>
      </c>
      <c r="C366" s="15" t="str">
        <f t="shared" si="5"/>
        <v>Rabia Qureshi</v>
      </c>
      <c r="D366" s="17">
        <v>0</v>
      </c>
      <c r="E366" s="15">
        <f>IFERROR(IF(Raw_Data!N362="", 0, IF(Raw_Data!N362&gt;1, Raw_Data!N362/100, Raw_Data!N362)), 0)</f>
        <v>0</v>
      </c>
      <c r="F366" s="15">
        <f>IFERROR(VALUE(Raw_Data!O362), Raw_Data!L362*Raw_Data!M362)</f>
        <v>548.6</v>
      </c>
    </row>
    <row r="367" spans="2:6" x14ac:dyDescent="0.35">
      <c r="B367" s="13" t="s">
        <v>651</v>
      </c>
      <c r="C367" s="15" t="str">
        <f t="shared" si="5"/>
        <v>Usman Raza</v>
      </c>
      <c r="D367" s="17">
        <v>0.1</v>
      </c>
      <c r="E367" s="15">
        <f>IFERROR(IF(Raw_Data!N363="", 0, IF(Raw_Data!N363&gt;1, Raw_Data!N363/100, Raw_Data!N363)), 0)</f>
        <v>0.1</v>
      </c>
      <c r="F367" s="15">
        <f>IFERROR(VALUE(Raw_Data!O363), Raw_Data!L363*Raw_Data!M363)</f>
        <v>148.68</v>
      </c>
    </row>
    <row r="368" spans="2:6" x14ac:dyDescent="0.35">
      <c r="B368" s="13" t="s">
        <v>476</v>
      </c>
      <c r="C368" s="15" t="str">
        <f t="shared" si="5"/>
        <v>Nida Iqbal</v>
      </c>
      <c r="D368" s="17">
        <v>0</v>
      </c>
      <c r="E368" s="15">
        <f>IFERROR(IF(Raw_Data!N364="", 0, IF(Raw_Data!N364&gt;1, Raw_Data!N364/100, Raw_Data!N364)), 0)</f>
        <v>0</v>
      </c>
      <c r="F368" s="15">
        <f>IFERROR(VALUE(Raw_Data!O364), Raw_Data!L364*Raw_Data!M364)</f>
        <v>2761.5</v>
      </c>
    </row>
    <row r="369" spans="2:6" x14ac:dyDescent="0.35">
      <c r="B369" s="13" t="s">
        <v>303</v>
      </c>
      <c r="C369" s="15" t="str">
        <f t="shared" si="5"/>
        <v>Faisal Sheikh</v>
      </c>
      <c r="D369" s="17">
        <v>0</v>
      </c>
      <c r="E369" s="15">
        <f>IFERROR(IF(Raw_Data!N365="", 0, IF(Raw_Data!N365&gt;1, Raw_Data!N365/100, Raw_Data!N365)), 0)</f>
        <v>0</v>
      </c>
      <c r="F369" s="15">
        <f>IFERROR(VALUE(Raw_Data!O365), Raw_Data!L365*Raw_Data!M365)</f>
        <v>977.31</v>
      </c>
    </row>
    <row r="370" spans="2:6" x14ac:dyDescent="0.35">
      <c r="B370" s="13" t="s">
        <v>299</v>
      </c>
      <c r="C370" s="15" t="str">
        <f t="shared" si="5"/>
        <v>Adeel Farooq</v>
      </c>
      <c r="D370" s="17">
        <v>0.15</v>
      </c>
      <c r="E370" s="15">
        <f>IFERROR(IF(Raw_Data!N366="", 0, IF(Raw_Data!N366&gt;1, Raw_Data!N366/100, Raw_Data!N366)), 0)</f>
        <v>0.15</v>
      </c>
      <c r="F370" s="15">
        <f>IFERROR(VALUE(Raw_Data!O366), Raw_Data!L366*Raw_Data!M366)</f>
        <v>561.57000000000005</v>
      </c>
    </row>
    <row r="371" spans="2:6" x14ac:dyDescent="0.35">
      <c r="B371" s="13" t="s">
        <v>146</v>
      </c>
      <c r="C371" s="15" t="str">
        <f t="shared" si="5"/>
        <v>Fatima Iqbal</v>
      </c>
      <c r="D371" s="17">
        <v>0</v>
      </c>
      <c r="E371" s="15">
        <f>IFERROR(IF(Raw_Data!N367="", 0, IF(Raw_Data!N367&gt;1, Raw_Data!N367/100, Raw_Data!N367)), 0)</f>
        <v>0</v>
      </c>
      <c r="F371" s="15">
        <f>IFERROR(VALUE(Raw_Data!O367), Raw_Data!L367*Raw_Data!M367)</f>
        <v>1111.8900000000001</v>
      </c>
    </row>
    <row r="372" spans="2:6" x14ac:dyDescent="0.35">
      <c r="B372" s="13" t="s">
        <v>521</v>
      </c>
      <c r="C372" s="15" t="str">
        <f t="shared" si="5"/>
        <v>Sara Ansari</v>
      </c>
      <c r="D372" s="17">
        <v>0.15</v>
      </c>
      <c r="E372" s="15">
        <f>IFERROR(IF(Raw_Data!N368="", 0, IF(Raw_Data!N368&gt;1, Raw_Data!N368/100, Raw_Data!N368)), 0)</f>
        <v>0.15</v>
      </c>
      <c r="F372" s="15">
        <f>IFERROR(VALUE(Raw_Data!O368), Raw_Data!L368*Raw_Data!M368)</f>
        <v>2596.7399999999998</v>
      </c>
    </row>
    <row r="373" spans="2:6" x14ac:dyDescent="0.35">
      <c r="B373" s="13" t="s">
        <v>122</v>
      </c>
      <c r="C373" s="15" t="str">
        <f t="shared" si="5"/>
        <v>Hina Malik</v>
      </c>
      <c r="D373" s="17">
        <v>0.1</v>
      </c>
      <c r="E373" s="15">
        <f>IFERROR(IF(Raw_Data!N369="", 0, IF(Raw_Data!N369&gt;1, Raw_Data!N369/100, Raw_Data!N369)), 0)</f>
        <v>0.1</v>
      </c>
      <c r="F373" s="15">
        <f>IFERROR(VALUE(Raw_Data!O369), Raw_Data!L369*Raw_Data!M369)</f>
        <v>1970.55</v>
      </c>
    </row>
    <row r="374" spans="2:6" x14ac:dyDescent="0.35">
      <c r="B374" s="13" t="s">
        <v>457</v>
      </c>
      <c r="C374" s="15" t="str">
        <f t="shared" si="5"/>
        <v>Adeel Iqbal</v>
      </c>
      <c r="D374" s="17">
        <v>0</v>
      </c>
      <c r="E374" s="15">
        <f>IFERROR(IF(Raw_Data!N370="", 0, IF(Raw_Data!N370&gt;1, Raw_Data!N370/100, Raw_Data!N370)), 0)</f>
        <v>0</v>
      </c>
      <c r="F374" s="15">
        <f>IFERROR(VALUE(Raw_Data!O370), Raw_Data!L370*Raw_Data!M370)</f>
        <v>1286.25</v>
      </c>
    </row>
    <row r="375" spans="2:6" x14ac:dyDescent="0.35">
      <c r="B375" s="13" t="s">
        <v>221</v>
      </c>
      <c r="C375" s="15" t="str">
        <f t="shared" si="5"/>
        <v>Bilal Chaudhry</v>
      </c>
      <c r="D375" s="17">
        <v>0.3</v>
      </c>
      <c r="E375" s="15">
        <f>IFERROR(IF(Raw_Data!N371="", 0, IF(Raw_Data!N371&gt;1, Raw_Data!N371/100, Raw_Data!N371)), 0)</f>
        <v>0.3</v>
      </c>
      <c r="F375" s="15">
        <f>IFERROR(VALUE(Raw_Data!O371), Raw_Data!L371*Raw_Data!M371)</f>
        <v>2094.4</v>
      </c>
    </row>
    <row r="376" spans="2:6" x14ac:dyDescent="0.35">
      <c r="B376" s="13" t="s">
        <v>599</v>
      </c>
      <c r="C376" s="15" t="str">
        <f t="shared" si="5"/>
        <v>Ayesha Malik</v>
      </c>
      <c r="D376" s="17">
        <v>0.1</v>
      </c>
      <c r="E376" s="15">
        <f>IFERROR(IF(Raw_Data!N372="", 0, IF(Raw_Data!N372&gt;1, Raw_Data!N372/100, Raw_Data!N372)), 0)</f>
        <v>0.1</v>
      </c>
      <c r="F376" s="15">
        <f>IFERROR(VALUE(Raw_Data!O372), Raw_Data!L372*Raw_Data!M372)</f>
        <v>4498.34</v>
      </c>
    </row>
    <row r="377" spans="2:6" x14ac:dyDescent="0.35">
      <c r="B377" s="13" t="s">
        <v>379</v>
      </c>
      <c r="C377" s="15" t="str">
        <f t="shared" si="5"/>
        <v>Nida Sheikh</v>
      </c>
      <c r="D377" s="17">
        <v>0</v>
      </c>
      <c r="E377" s="15">
        <f>IFERROR(IF(Raw_Data!N373="", 0, IF(Raw_Data!N373&gt;1, Raw_Data!N373/100, Raw_Data!N373)), 0)</f>
        <v>0</v>
      </c>
      <c r="F377" s="15">
        <f>IFERROR(VALUE(Raw_Data!O373), Raw_Data!L373*Raw_Data!M373)</f>
        <v>6612.4</v>
      </c>
    </row>
    <row r="378" spans="2:6" x14ac:dyDescent="0.35">
      <c r="B378" s="13" t="s">
        <v>299</v>
      </c>
      <c r="C378" s="15" t="str">
        <f t="shared" si="5"/>
        <v>Adeel Farooq</v>
      </c>
      <c r="D378" s="17">
        <v>0.15</v>
      </c>
      <c r="E378" s="15">
        <f>IFERROR(IF(Raw_Data!N374="", 0, IF(Raw_Data!N374&gt;1, Raw_Data!N374/100, Raw_Data!N374)), 0)</f>
        <v>0.15</v>
      </c>
      <c r="F378" s="15">
        <f>IFERROR(VALUE(Raw_Data!O374), Raw_Data!L374*Raw_Data!M374)</f>
        <v>3815.8</v>
      </c>
    </row>
    <row r="379" spans="2:6" x14ac:dyDescent="0.35">
      <c r="B379" s="13" t="s">
        <v>169</v>
      </c>
      <c r="C379" s="15" t="str">
        <f t="shared" si="5"/>
        <v>Kamran Ansari</v>
      </c>
      <c r="D379" s="17">
        <v>0.1</v>
      </c>
      <c r="E379" s="15">
        <f>IFERROR(IF(Raw_Data!N375="", 0, IF(Raw_Data!N375&gt;1, Raw_Data!N375/100, Raw_Data!N375)), 0)</f>
        <v>0.1</v>
      </c>
      <c r="F379" s="15">
        <f>IFERROR(VALUE(Raw_Data!O375), Raw_Data!L375*Raw_Data!M375)</f>
        <v>846.79</v>
      </c>
    </row>
    <row r="380" spans="2:6" x14ac:dyDescent="0.35">
      <c r="B380" s="13" t="s">
        <v>267</v>
      </c>
      <c r="C380" s="15" t="str">
        <f t="shared" si="5"/>
        <v>Nida Chaudhry</v>
      </c>
      <c r="D380" s="17">
        <v>0</v>
      </c>
      <c r="E380" s="15">
        <f>IFERROR(IF(Raw_Data!N376="", 0, IF(Raw_Data!N376&gt;1, Raw_Data!N376/100, Raw_Data!N376)), 0)</f>
        <v>0</v>
      </c>
      <c r="F380" s="15">
        <f>IFERROR(VALUE(Raw_Data!O376), Raw_Data!L376*Raw_Data!M376)</f>
        <v>562.48</v>
      </c>
    </row>
    <row r="381" spans="2:6" x14ac:dyDescent="0.35">
      <c r="B381" s="13" t="s">
        <v>56</v>
      </c>
      <c r="C381" s="15" t="str">
        <f t="shared" si="5"/>
        <v>Zara Qureshi</v>
      </c>
      <c r="D381" s="17">
        <v>0</v>
      </c>
      <c r="E381" s="15">
        <f>IFERROR(IF(Raw_Data!N377="", 0, IF(Raw_Data!N377&gt;1, Raw_Data!N377/100, Raw_Data!N377)), 0)</f>
        <v>0</v>
      </c>
      <c r="F381" s="15">
        <f>IFERROR(VALUE(Raw_Data!O377), Raw_Data!L377*Raw_Data!M377)</f>
        <v>5187.42</v>
      </c>
    </row>
    <row r="382" spans="2:6" x14ac:dyDescent="0.35">
      <c r="B382" s="13" t="s">
        <v>153</v>
      </c>
      <c r="C382" s="15" t="str">
        <f t="shared" si="5"/>
        <v>Tariq Butt</v>
      </c>
      <c r="D382" s="17">
        <v>0.1</v>
      </c>
      <c r="E382" s="15">
        <f>IFERROR(IF(Raw_Data!N378="", 0, IF(Raw_Data!N378&gt;1, Raw_Data!N378/100, Raw_Data!N378)), 0)</f>
        <v>0.1</v>
      </c>
      <c r="F382" s="15">
        <f>IFERROR(VALUE(Raw_Data!O378), Raw_Data!L378*Raw_Data!M378)</f>
        <v>840.84</v>
      </c>
    </row>
    <row r="383" spans="2:6" x14ac:dyDescent="0.35">
      <c r="B383" s="13" t="s">
        <v>231</v>
      </c>
      <c r="C383" s="15" t="str">
        <f t="shared" si="5"/>
        <v>Fatima Malik</v>
      </c>
      <c r="D383" s="17">
        <v>0</v>
      </c>
      <c r="E383" s="15">
        <f>IFERROR(IF(Raw_Data!N379="", 0, IF(Raw_Data!N379&gt;1, Raw_Data!N379/100, Raw_Data!N379)), 0)</f>
        <v>0</v>
      </c>
      <c r="F383" s="15">
        <f>IFERROR(VALUE(Raw_Data!O379), Raw_Data!L379*Raw_Data!M379)</f>
        <v>1418.07</v>
      </c>
    </row>
    <row r="384" spans="2:6" x14ac:dyDescent="0.35">
      <c r="B384" s="13" t="s">
        <v>213</v>
      </c>
      <c r="C384" s="15" t="str">
        <f t="shared" si="5"/>
        <v>Hina Iqbal</v>
      </c>
      <c r="D384" s="17">
        <v>0.2</v>
      </c>
      <c r="E384" s="15">
        <f>IFERROR(IF(Raw_Data!N380="", 0, IF(Raw_Data!N380&gt;1, Raw_Data!N380/100, Raw_Data!N380)), 0)</f>
        <v>0.2</v>
      </c>
      <c r="F384" s="15">
        <f>IFERROR(VALUE(Raw_Data!O380), Raw_Data!L380*Raw_Data!M380)</f>
        <v>5381.28</v>
      </c>
    </row>
    <row r="385" spans="2:6" x14ac:dyDescent="0.35">
      <c r="B385" s="13" t="s">
        <v>397</v>
      </c>
      <c r="C385" s="15" t="str">
        <f t="shared" si="5"/>
        <v>Rabia Khan</v>
      </c>
      <c r="D385" s="17">
        <v>0</v>
      </c>
      <c r="E385" s="15">
        <f>IFERROR(IF(Raw_Data!N381="", 0, IF(Raw_Data!N381&gt;1, Raw_Data!N381/100, Raw_Data!N381)), 0)</f>
        <v>0</v>
      </c>
      <c r="F385" s="15">
        <f>IFERROR(VALUE(Raw_Data!O381), Raw_Data!L381*Raw_Data!M381)</f>
        <v>3964.7</v>
      </c>
    </row>
    <row r="386" spans="2:6" x14ac:dyDescent="0.35">
      <c r="B386" s="13" t="s">
        <v>671</v>
      </c>
      <c r="C386" s="15" t="str">
        <f t="shared" si="5"/>
        <v>Zara Sheikh</v>
      </c>
      <c r="D386" s="17">
        <v>0</v>
      </c>
      <c r="E386" s="15">
        <f>IFERROR(IF(Raw_Data!N382="", 0, IF(Raw_Data!N382&gt;1, Raw_Data!N382/100, Raw_Data!N382)), 0)</f>
        <v>0</v>
      </c>
      <c r="F386" s="15">
        <f>IFERROR(VALUE(Raw_Data!O382), Raw_Data!L382*Raw_Data!M382)</f>
        <v>810.03</v>
      </c>
    </row>
    <row r="387" spans="2:6" x14ac:dyDescent="0.35">
      <c r="B387" s="13" t="s">
        <v>281</v>
      </c>
      <c r="C387" s="15" t="str">
        <f t="shared" si="5"/>
        <v>Ayesha Sheikh</v>
      </c>
      <c r="D387" s="17">
        <v>0</v>
      </c>
      <c r="E387" s="15">
        <f>IFERROR(IF(Raw_Data!N383="", 0, IF(Raw_Data!N383&gt;1, Raw_Data!N383/100, Raw_Data!N383)), 0)</f>
        <v>0</v>
      </c>
      <c r="F387" s="15">
        <f>IFERROR(VALUE(Raw_Data!O383), Raw_Data!L383*Raw_Data!M383)</f>
        <v>873.24</v>
      </c>
    </row>
    <row r="388" spans="2:6" x14ac:dyDescent="0.35">
      <c r="B388" s="13" t="s">
        <v>227</v>
      </c>
      <c r="C388" s="15" t="str">
        <f t="shared" si="5"/>
        <v>Omar Qureshi</v>
      </c>
      <c r="D388" s="17">
        <v>0</v>
      </c>
      <c r="E388" s="15">
        <f>IFERROR(IF(Raw_Data!N384="", 0, IF(Raw_Data!N384&gt;1, Raw_Data!N384/100, Raw_Data!N384)), 0)</f>
        <v>0</v>
      </c>
      <c r="F388" s="15">
        <f>IFERROR(VALUE(Raw_Data!O384), Raw_Data!L384*Raw_Data!M384)</f>
        <v>1533.51</v>
      </c>
    </row>
    <row r="389" spans="2:6" x14ac:dyDescent="0.35">
      <c r="B389" s="13" t="s">
        <v>675</v>
      </c>
      <c r="C389" s="15" t="str">
        <f t="shared" si="5"/>
        <v>Hina Ansari</v>
      </c>
      <c r="D389" s="17">
        <v>0.15</v>
      </c>
      <c r="E389" s="15">
        <f>IFERROR(IF(Raw_Data!N385="", 0, IF(Raw_Data!N385&gt;1, Raw_Data!N385/100, Raw_Data!N385)), 0)</f>
        <v>0.15</v>
      </c>
      <c r="F389" s="15">
        <f>IFERROR(VALUE(Raw_Data!O385), Raw_Data!L385*Raw_Data!M385)</f>
        <v>424.64</v>
      </c>
    </row>
    <row r="390" spans="2:6" x14ac:dyDescent="0.35">
      <c r="B390" s="13" t="s">
        <v>363</v>
      </c>
      <c r="C390" s="15" t="str">
        <f t="shared" si="5"/>
        <v>Bilal Iqbal</v>
      </c>
      <c r="D390" s="17">
        <v>0</v>
      </c>
      <c r="E390" s="15">
        <f>IFERROR(IF(Raw_Data!N386="", 0, IF(Raw_Data!N386&gt;1, Raw_Data!N386/100, Raw_Data!N386)), 0)</f>
        <v>0</v>
      </c>
      <c r="F390" s="15">
        <f>IFERROR(VALUE(Raw_Data!O386), Raw_Data!L386*Raw_Data!M386)</f>
        <v>1069.5</v>
      </c>
    </row>
    <row r="391" spans="2:6" x14ac:dyDescent="0.35">
      <c r="B391" s="13" t="s">
        <v>395</v>
      </c>
      <c r="C391" s="15" t="str">
        <f t="shared" ref="C391:C454" si="6">IF(OR(B391="",B391=0), "Unknown Customer", PROPER(TRIM(B391)))</f>
        <v>Usman Farooq</v>
      </c>
      <c r="D391" s="17">
        <v>0</v>
      </c>
      <c r="E391" s="15">
        <f>IFERROR(IF(Raw_Data!N387="", 0, IF(Raw_Data!N387&gt;1, Raw_Data!N387/100, Raw_Data!N387)), 0)</f>
        <v>0</v>
      </c>
      <c r="F391" s="15">
        <f>IFERROR(VALUE(Raw_Data!O387), Raw_Data!L387*Raw_Data!M387)</f>
        <v>61.05</v>
      </c>
    </row>
    <row r="392" spans="2:6" x14ac:dyDescent="0.35">
      <c r="B392" s="13" t="s">
        <v>167</v>
      </c>
      <c r="C392" s="15" t="str">
        <f t="shared" si="6"/>
        <v>Imran Farooq</v>
      </c>
      <c r="D392" s="17">
        <v>0.1</v>
      </c>
      <c r="E392" s="15">
        <f>IFERROR(IF(Raw_Data!N388="", 0, IF(Raw_Data!N388&gt;1, Raw_Data!N388/100, Raw_Data!N388)), 0)</f>
        <v>0.1</v>
      </c>
      <c r="F392" s="15">
        <f>IFERROR(VALUE(Raw_Data!O388), Raw_Data!L388*Raw_Data!M388)</f>
        <v>891.28</v>
      </c>
    </row>
    <row r="393" spans="2:6" x14ac:dyDescent="0.35">
      <c r="B393" s="13" t="s">
        <v>681</v>
      </c>
      <c r="C393" s="15" t="str">
        <f t="shared" si="6"/>
        <v>Fatima Farooq</v>
      </c>
      <c r="D393" s="17">
        <v>0.2</v>
      </c>
      <c r="E393" s="15">
        <f>IFERROR(IF(Raw_Data!N389="", 0, IF(Raw_Data!N389&gt;1, Raw_Data!N389/100, Raw_Data!N389)), 0)</f>
        <v>0.2</v>
      </c>
      <c r="F393" s="15">
        <f>IFERROR(VALUE(Raw_Data!O389), Raw_Data!L389*Raw_Data!M389)</f>
        <v>2204.4</v>
      </c>
    </row>
    <row r="394" spans="2:6" x14ac:dyDescent="0.35">
      <c r="B394" s="13" t="s">
        <v>465</v>
      </c>
      <c r="C394" s="15" t="str">
        <f t="shared" si="6"/>
        <v>Ali Ansari</v>
      </c>
      <c r="D394" s="17">
        <v>0.1</v>
      </c>
      <c r="E394" s="15">
        <f>IFERROR(IF(Raw_Data!N390="", 0, IF(Raw_Data!N390&gt;1, Raw_Data!N390/100, Raw_Data!N390)), 0)</f>
        <v>0.1</v>
      </c>
      <c r="F394" s="15">
        <f>IFERROR(VALUE(Raw_Data!O390), Raw_Data!L390*Raw_Data!M390)</f>
        <v>1028.8800000000001</v>
      </c>
    </row>
    <row r="395" spans="2:6" x14ac:dyDescent="0.35">
      <c r="B395" s="13" t="s">
        <v>213</v>
      </c>
      <c r="C395" s="15" t="str">
        <f t="shared" si="6"/>
        <v>Hina Iqbal</v>
      </c>
      <c r="D395" s="17">
        <v>0</v>
      </c>
      <c r="E395" s="15">
        <f>IFERROR(IF(Raw_Data!N391="", 0, IF(Raw_Data!N391&gt;1, Raw_Data!N391/100, Raw_Data!N391)), 0)</f>
        <v>0</v>
      </c>
      <c r="F395" s="15">
        <f>IFERROR(VALUE(Raw_Data!O391), Raw_Data!L391*Raw_Data!M391)</f>
        <v>6645.4</v>
      </c>
    </row>
    <row r="396" spans="2:6" x14ac:dyDescent="0.35">
      <c r="B396" s="13" t="s">
        <v>685</v>
      </c>
      <c r="C396" s="15" t="str">
        <f t="shared" si="6"/>
        <v>Hina Raza</v>
      </c>
      <c r="D396" s="17">
        <v>0</v>
      </c>
      <c r="E396" s="15">
        <f>IFERROR(IF(Raw_Data!N392="", 0, IF(Raw_Data!N392&gt;1, Raw_Data!N392/100, Raw_Data!N392)), 0)</f>
        <v>0</v>
      </c>
      <c r="F396" s="15">
        <f>IFERROR(VALUE(Raw_Data!O392), Raw_Data!L392*Raw_Data!M392)</f>
        <v>3446.88</v>
      </c>
    </row>
    <row r="397" spans="2:6" x14ac:dyDescent="0.35">
      <c r="B397" s="13" t="s">
        <v>551</v>
      </c>
      <c r="C397" s="15" t="str">
        <f t="shared" si="6"/>
        <v>Kamran Chaudhry</v>
      </c>
      <c r="D397" s="17">
        <v>0.15</v>
      </c>
      <c r="E397" s="15">
        <f>IFERROR(IF(Raw_Data!N393="", 0, IF(Raw_Data!N393&gt;1, Raw_Data!N393/100, Raw_Data!N393)), 0)</f>
        <v>0.15</v>
      </c>
      <c r="F397" s="15">
        <f>IFERROR(VALUE(Raw_Data!O393), Raw_Data!L393*Raw_Data!M393)</f>
        <v>2597.56</v>
      </c>
    </row>
    <row r="398" spans="2:6" x14ac:dyDescent="0.35">
      <c r="B398" s="13" t="s">
        <v>688</v>
      </c>
      <c r="C398" s="15" t="str">
        <f t="shared" si="6"/>
        <v>Hassan Raza</v>
      </c>
      <c r="D398" s="17">
        <v>0</v>
      </c>
      <c r="E398" s="15">
        <f>IFERROR(IF(Raw_Data!N394="", 0, IF(Raw_Data!N394&gt;1, Raw_Data!N394/100, Raw_Data!N394)), 0)</f>
        <v>0</v>
      </c>
      <c r="F398" s="15">
        <f>IFERROR(VALUE(Raw_Data!O394), Raw_Data!L394*Raw_Data!M394)</f>
        <v>614.94000000000005</v>
      </c>
    </row>
    <row r="399" spans="2:6" x14ac:dyDescent="0.35">
      <c r="B399" s="13" t="s">
        <v>510</v>
      </c>
      <c r="C399" s="15" t="str">
        <f t="shared" si="6"/>
        <v>Hassan Iqbal</v>
      </c>
      <c r="D399" s="17">
        <v>0.1</v>
      </c>
      <c r="E399" s="15">
        <f>IFERROR(IF(Raw_Data!N395="", 0, IF(Raw_Data!N395&gt;1, Raw_Data!N395/100, Raw_Data!N395)), 0)</f>
        <v>0.1</v>
      </c>
      <c r="F399" s="15">
        <f>IFERROR(VALUE(Raw_Data!O395), Raw_Data!L395*Raw_Data!M395)</f>
        <v>1744.74</v>
      </c>
    </row>
    <row r="400" spans="2:6" x14ac:dyDescent="0.35">
      <c r="B400" s="13" t="s">
        <v>521</v>
      </c>
      <c r="C400" s="15" t="str">
        <f t="shared" si="6"/>
        <v>Sara Ansari</v>
      </c>
      <c r="D400" s="17">
        <v>0</v>
      </c>
      <c r="E400" s="15">
        <f>IFERROR(IF(Raw_Data!N396="", 0, IF(Raw_Data!N396&gt;1, Raw_Data!N396/100, Raw_Data!N396)), 0)</f>
        <v>0</v>
      </c>
      <c r="F400" s="15">
        <f>IFERROR(VALUE(Raw_Data!O396), Raw_Data!L396*Raw_Data!M396)</f>
        <v>433.32</v>
      </c>
    </row>
    <row r="401" spans="2:6" x14ac:dyDescent="0.35">
      <c r="B401" s="13" t="s">
        <v>478</v>
      </c>
      <c r="C401" s="15" t="str">
        <f t="shared" si="6"/>
        <v>Adeel Sheikh</v>
      </c>
      <c r="D401" s="17">
        <v>0.15</v>
      </c>
      <c r="E401" s="15">
        <f>IFERROR(IF(Raw_Data!N397="", 0, IF(Raw_Data!N397&gt;1, Raw_Data!N397/100, Raw_Data!N397)), 0)</f>
        <v>0.15</v>
      </c>
      <c r="F401" s="15">
        <f>IFERROR(VALUE(Raw_Data!O397), Raw_Data!L397*Raw_Data!M397)</f>
        <v>1693.08</v>
      </c>
    </row>
    <row r="402" spans="2:6" x14ac:dyDescent="0.35">
      <c r="B402" s="13" t="s">
        <v>693</v>
      </c>
      <c r="C402" s="15" t="str">
        <f t="shared" si="6"/>
        <v>Adeel Raza</v>
      </c>
      <c r="D402" s="17">
        <v>0.2</v>
      </c>
      <c r="E402" s="15">
        <f>IFERROR(IF(Raw_Data!N398="", 0, IF(Raw_Data!N398&gt;1, Raw_Data!N398/100, Raw_Data!N398)), 0)</f>
        <v>0.2</v>
      </c>
      <c r="F402" s="15">
        <f>IFERROR(VALUE(Raw_Data!O398), Raw_Data!L398*Raw_Data!M398)</f>
        <v>672.45</v>
      </c>
    </row>
    <row r="403" spans="2:6" x14ac:dyDescent="0.35">
      <c r="B403" s="13" t="s">
        <v>685</v>
      </c>
      <c r="C403" s="15" t="str">
        <f t="shared" si="6"/>
        <v>Hina Raza</v>
      </c>
      <c r="D403" s="17">
        <v>0</v>
      </c>
      <c r="E403" s="15">
        <f>IFERROR(IF(Raw_Data!N399="", 0, IF(Raw_Data!N399&gt;1, Raw_Data!N399/100, Raw_Data!N399)), 0)</f>
        <v>0</v>
      </c>
      <c r="F403" s="15">
        <f>IFERROR(VALUE(Raw_Data!O399), Raw_Data!L399*Raw_Data!M399)</f>
        <v>745.17</v>
      </c>
    </row>
    <row r="404" spans="2:6" x14ac:dyDescent="0.35">
      <c r="B404" s="13" t="s">
        <v>521</v>
      </c>
      <c r="C404" s="15" t="str">
        <f t="shared" si="6"/>
        <v>Sara Ansari</v>
      </c>
      <c r="D404" s="17">
        <v>0</v>
      </c>
      <c r="E404" s="15">
        <f>IFERROR(IF(Raw_Data!N400="", 0, IF(Raw_Data!N400&gt;1, Raw_Data!N400/100, Raw_Data!N400)), 0)</f>
        <v>0</v>
      </c>
      <c r="F404" s="15">
        <f>IFERROR(VALUE(Raw_Data!O400), Raw_Data!L400*Raw_Data!M400)</f>
        <v>1305.18</v>
      </c>
    </row>
    <row r="405" spans="2:6" x14ac:dyDescent="0.35">
      <c r="B405" s="13" t="s">
        <v>255</v>
      </c>
      <c r="C405" s="15" t="str">
        <f t="shared" si="6"/>
        <v>Tariq Ansari</v>
      </c>
      <c r="D405" s="17">
        <v>0.1</v>
      </c>
      <c r="E405" s="15">
        <f>IFERROR(IF(Raw_Data!N401="", 0, IF(Raw_Data!N401&gt;1, Raw_Data!N401/100, Raw_Data!N401)), 0)</f>
        <v>0.1</v>
      </c>
      <c r="F405" s="15">
        <f>IFERROR(VALUE(Raw_Data!O401), Raw_Data!L401*Raw_Data!M401)</f>
        <v>3367.9</v>
      </c>
    </row>
    <row r="406" spans="2:6" x14ac:dyDescent="0.35">
      <c r="B406" s="13" t="s">
        <v>589</v>
      </c>
      <c r="C406" s="15" t="str">
        <f t="shared" si="6"/>
        <v>Mahnoor Raza</v>
      </c>
      <c r="D406" s="17">
        <v>0</v>
      </c>
      <c r="E406" s="15">
        <f>IFERROR(IF(Raw_Data!N402="", 0, IF(Raw_Data!N402&gt;1, Raw_Data!N402/100, Raw_Data!N402)), 0)</f>
        <v>0</v>
      </c>
      <c r="F406" s="15">
        <f>IFERROR(VALUE(Raw_Data!O402), Raw_Data!L402*Raw_Data!M402)</f>
        <v>509.16</v>
      </c>
    </row>
    <row r="407" spans="2:6" x14ac:dyDescent="0.35">
      <c r="B407" s="13" t="s">
        <v>135</v>
      </c>
      <c r="C407" s="15" t="str">
        <f t="shared" si="6"/>
        <v>Adeel Malik</v>
      </c>
      <c r="D407" s="17">
        <v>0.2</v>
      </c>
      <c r="E407" s="15">
        <f>IFERROR(IF(Raw_Data!N403="", 0, IF(Raw_Data!N403&gt;1, Raw_Data!N403/100, Raw_Data!N403)), 0)</f>
        <v>0.2</v>
      </c>
      <c r="F407" s="15">
        <f>IFERROR(VALUE(Raw_Data!O403), Raw_Data!L403*Raw_Data!M403)</f>
        <v>563.64</v>
      </c>
    </row>
    <row r="408" spans="2:6" x14ac:dyDescent="0.35">
      <c r="B408" s="13" t="s">
        <v>257</v>
      </c>
      <c r="C408" s="15" t="str">
        <f t="shared" si="6"/>
        <v>Ayesha Raza</v>
      </c>
      <c r="D408" s="17">
        <v>0.1</v>
      </c>
      <c r="E408" s="15">
        <f>IFERROR(IF(Raw_Data!N404="", 0, IF(Raw_Data!N404&gt;1, Raw_Data!N404/100, Raw_Data!N404)), 0)</f>
        <v>0.1</v>
      </c>
      <c r="F408" s="15">
        <f>IFERROR(VALUE(Raw_Data!O404), Raw_Data!L404*Raw_Data!M404)</f>
        <v>178.54</v>
      </c>
    </row>
    <row r="409" spans="2:6" x14ac:dyDescent="0.35">
      <c r="B409" s="13" t="s">
        <v>410</v>
      </c>
      <c r="C409" s="15" t="str">
        <f t="shared" si="6"/>
        <v>Hassan Farooq</v>
      </c>
      <c r="D409" s="17">
        <v>0</v>
      </c>
      <c r="E409" s="15">
        <f>IFERROR(IF(Raw_Data!N405="", 0, IF(Raw_Data!N405&gt;1, Raw_Data!N405/100, Raw_Data!N405)), 0)</f>
        <v>0</v>
      </c>
      <c r="F409" s="15">
        <f>IFERROR(VALUE(Raw_Data!O405), Raw_Data!L405*Raw_Data!M405)</f>
        <v>2802.42</v>
      </c>
    </row>
    <row r="410" spans="2:6" x14ac:dyDescent="0.35">
      <c r="B410" s="13" t="s">
        <v>218</v>
      </c>
      <c r="C410" s="15" t="str">
        <f t="shared" si="6"/>
        <v>Usman Iqbal</v>
      </c>
      <c r="D410" s="17">
        <v>0.1</v>
      </c>
      <c r="E410" s="15">
        <f>IFERROR(IF(Raw_Data!N406="", 0, IF(Raw_Data!N406&gt;1, Raw_Data!N406/100, Raw_Data!N406)), 0)</f>
        <v>0.1</v>
      </c>
      <c r="F410" s="15">
        <f>IFERROR(VALUE(Raw_Data!O406), Raw_Data!L406*Raw_Data!M406)</f>
        <v>7508.6</v>
      </c>
    </row>
    <row r="411" spans="2:6" x14ac:dyDescent="0.35">
      <c r="B411" s="13" t="s">
        <v>153</v>
      </c>
      <c r="C411" s="15" t="str">
        <f t="shared" si="6"/>
        <v>Tariq Butt</v>
      </c>
      <c r="D411" s="17">
        <v>0</v>
      </c>
      <c r="E411" s="15">
        <f>IFERROR(IF(Raw_Data!N407="", 0, IF(Raw_Data!N407&gt;1, Raw_Data!N407/100, Raw_Data!N407)), 0)</f>
        <v>0</v>
      </c>
      <c r="F411" s="15">
        <f>IFERROR(VALUE(Raw_Data!O407), Raw_Data!L407*Raw_Data!M407)</f>
        <v>2203.5500000000002</v>
      </c>
    </row>
    <row r="412" spans="2:6" x14ac:dyDescent="0.35">
      <c r="B412" s="13" t="s">
        <v>265</v>
      </c>
      <c r="C412" s="15" t="str">
        <f t="shared" si="6"/>
        <v>Kamran Sheikh</v>
      </c>
      <c r="D412" s="17">
        <v>0.2</v>
      </c>
      <c r="E412" s="15">
        <f>IFERROR(IF(Raw_Data!N408="", 0, IF(Raw_Data!N408&gt;1, Raw_Data!N408/100, Raw_Data!N408)), 0)</f>
        <v>0.2</v>
      </c>
      <c r="F412" s="15">
        <f>IFERROR(VALUE(Raw_Data!O408), Raw_Data!L408*Raw_Data!M408)</f>
        <v>1471.14</v>
      </c>
    </row>
    <row r="413" spans="2:6" x14ac:dyDescent="0.35">
      <c r="B413" s="13" t="s">
        <v>312</v>
      </c>
      <c r="C413" s="15" t="str">
        <f t="shared" si="6"/>
        <v>Usman Chaudhry</v>
      </c>
      <c r="D413" s="17">
        <v>0</v>
      </c>
      <c r="E413" s="15">
        <f>IFERROR(IF(Raw_Data!N409="", 0, IF(Raw_Data!N409&gt;1, Raw_Data!N409/100, Raw_Data!N409)), 0)</f>
        <v>0</v>
      </c>
      <c r="F413" s="15">
        <f>IFERROR(VALUE(Raw_Data!O409), Raw_Data!L409*Raw_Data!M409)</f>
        <v>3270.52</v>
      </c>
    </row>
    <row r="414" spans="2:6" x14ac:dyDescent="0.35">
      <c r="B414" s="13" t="s">
        <v>363</v>
      </c>
      <c r="C414" s="15" t="str">
        <f t="shared" si="6"/>
        <v>Bilal Iqbal</v>
      </c>
      <c r="D414" s="17">
        <v>0.2</v>
      </c>
      <c r="E414" s="15">
        <f>IFERROR(IF(Raw_Data!N410="", 0, IF(Raw_Data!N410&gt;1, Raw_Data!N410/100, Raw_Data!N410)), 0)</f>
        <v>0.2</v>
      </c>
      <c r="F414" s="15">
        <f>IFERROR(VALUE(Raw_Data!O410), Raw_Data!L410*Raw_Data!M410)</f>
        <v>1985.25</v>
      </c>
    </row>
    <row r="415" spans="2:6" x14ac:dyDescent="0.35">
      <c r="B415" s="13" t="s">
        <v>251</v>
      </c>
      <c r="C415" s="15" t="str">
        <f t="shared" si="6"/>
        <v>Hina Qureshi</v>
      </c>
      <c r="D415" s="17">
        <v>0.3</v>
      </c>
      <c r="E415" s="15">
        <f>IFERROR(IF(Raw_Data!N411="", 0, IF(Raw_Data!N411&gt;1, Raw_Data!N411/100, Raw_Data!N411)), 0)</f>
        <v>0.3</v>
      </c>
      <c r="F415" s="15">
        <f>IFERROR(VALUE(Raw_Data!O411), Raw_Data!L411*Raw_Data!M411)</f>
        <v>5458.88</v>
      </c>
    </row>
    <row r="416" spans="2:6" x14ac:dyDescent="0.35">
      <c r="B416" s="13" t="s">
        <v>708</v>
      </c>
      <c r="C416" s="15" t="str">
        <f t="shared" si="6"/>
        <v>Ahmed Sheikh</v>
      </c>
      <c r="D416" s="17">
        <v>0.3</v>
      </c>
      <c r="E416" s="15">
        <f>IFERROR(IF(Raw_Data!N412="", 0, IF(Raw_Data!N412&gt;1, Raw_Data!N412/100, Raw_Data!N412)), 0)</f>
        <v>0.3</v>
      </c>
      <c r="F416" s="15">
        <f>IFERROR(VALUE(Raw_Data!O412), Raw_Data!L412*Raw_Data!M412)</f>
        <v>8065.31</v>
      </c>
    </row>
    <row r="417" spans="2:6" x14ac:dyDescent="0.35">
      <c r="B417" s="13" t="s">
        <v>424</v>
      </c>
      <c r="C417" s="15" t="str">
        <f t="shared" si="6"/>
        <v>Tariq Qureshi</v>
      </c>
      <c r="D417" s="17">
        <v>0.3</v>
      </c>
      <c r="E417" s="15">
        <f>IFERROR(IF(Raw_Data!N413="", 0, IF(Raw_Data!N413&gt;1, Raw_Data!N413/100, Raw_Data!N413)), 0)</f>
        <v>0.3</v>
      </c>
      <c r="F417" s="15">
        <f>IFERROR(VALUE(Raw_Data!O413), Raw_Data!L413*Raw_Data!M413)</f>
        <v>1895.94</v>
      </c>
    </row>
    <row r="418" spans="2:6" x14ac:dyDescent="0.35">
      <c r="B418" s="13" t="s">
        <v>535</v>
      </c>
      <c r="C418" s="15" t="str">
        <f t="shared" si="6"/>
        <v>Nida Ansari</v>
      </c>
      <c r="D418" s="17">
        <v>0.3</v>
      </c>
      <c r="E418" s="15">
        <f>IFERROR(IF(Raw_Data!N414="", 0, IF(Raw_Data!N414&gt;1, Raw_Data!N414/100, Raw_Data!N414)), 0)</f>
        <v>0.3</v>
      </c>
      <c r="F418" s="15">
        <f>IFERROR(VALUE(Raw_Data!O414), Raw_Data!L414*Raw_Data!M414)</f>
        <v>6228.09</v>
      </c>
    </row>
    <row r="419" spans="2:6" x14ac:dyDescent="0.35">
      <c r="B419" s="13" t="s">
        <v>291</v>
      </c>
      <c r="C419" s="15" t="str">
        <f t="shared" si="6"/>
        <v>Nida Farooq</v>
      </c>
      <c r="D419" s="17">
        <v>0</v>
      </c>
      <c r="E419" s="15">
        <f>IFERROR(IF(Raw_Data!N415="", 0, IF(Raw_Data!N415&gt;1, Raw_Data!N415/100, Raw_Data!N415)), 0)</f>
        <v>0</v>
      </c>
      <c r="F419" s="15">
        <f>IFERROR(VALUE(Raw_Data!O415), Raw_Data!L415*Raw_Data!M415)</f>
        <v>2532.7399999999998</v>
      </c>
    </row>
    <row r="420" spans="2:6" x14ac:dyDescent="0.35">
      <c r="B420" s="13" t="s">
        <v>570</v>
      </c>
      <c r="C420" s="15" t="str">
        <f t="shared" si="6"/>
        <v>Tariq Raza</v>
      </c>
      <c r="D420" s="17">
        <v>0.3</v>
      </c>
      <c r="E420" s="15">
        <f>IFERROR(IF(Raw_Data!N416="", 0, IF(Raw_Data!N416&gt;1, Raw_Data!N416/100, Raw_Data!N416)), 0)</f>
        <v>0.3</v>
      </c>
      <c r="F420" s="15">
        <f>IFERROR(VALUE(Raw_Data!O416), Raw_Data!L416*Raw_Data!M416)</f>
        <v>417.51</v>
      </c>
    </row>
    <row r="421" spans="2:6" x14ac:dyDescent="0.35">
      <c r="B421" s="13" t="s">
        <v>255</v>
      </c>
      <c r="C421" s="15" t="str">
        <f t="shared" si="6"/>
        <v>Tariq Ansari</v>
      </c>
      <c r="D421" s="17">
        <v>0</v>
      </c>
      <c r="E421" s="15">
        <f>IFERROR(IF(Raw_Data!N417="", 0, IF(Raw_Data!N417&gt;1, Raw_Data!N417/100, Raw_Data!N417)), 0)</f>
        <v>0</v>
      </c>
      <c r="F421" s="15">
        <f>IFERROR(VALUE(Raw_Data!O417), Raw_Data!L417*Raw_Data!M417)</f>
        <v>555.4</v>
      </c>
    </row>
    <row r="422" spans="2:6" x14ac:dyDescent="0.35">
      <c r="B422" s="13" t="s">
        <v>131</v>
      </c>
      <c r="C422" s="15" t="str">
        <f t="shared" si="6"/>
        <v>Ahmed Iqbal</v>
      </c>
      <c r="D422" s="17">
        <v>0.1</v>
      </c>
      <c r="E422" s="15">
        <f>IFERROR(IF(Raw_Data!N418="", 0, IF(Raw_Data!N418&gt;1, Raw_Data!N418/100, Raw_Data!N418)), 0)</f>
        <v>0.1</v>
      </c>
      <c r="F422" s="15">
        <f>IFERROR(VALUE(Raw_Data!O418), Raw_Data!L418*Raw_Data!M418)</f>
        <v>9057.4</v>
      </c>
    </row>
    <row r="423" spans="2:6" x14ac:dyDescent="0.35">
      <c r="B423" s="13" t="s">
        <v>403</v>
      </c>
      <c r="C423" s="15" t="str">
        <f t="shared" si="6"/>
        <v>Adeel Ansari</v>
      </c>
      <c r="D423" s="17">
        <v>0.15</v>
      </c>
      <c r="E423" s="15">
        <f>IFERROR(IF(Raw_Data!N419="", 0, IF(Raw_Data!N419&gt;1, Raw_Data!N419/100, Raw_Data!N419)), 0)</f>
        <v>0.15</v>
      </c>
      <c r="F423" s="15">
        <f>IFERROR(VALUE(Raw_Data!O419), Raw_Data!L419*Raw_Data!M419)</f>
        <v>229.1</v>
      </c>
    </row>
    <row r="424" spans="2:6" x14ac:dyDescent="0.35">
      <c r="B424" s="13" t="s">
        <v>287</v>
      </c>
      <c r="C424" s="15" t="str">
        <f t="shared" si="6"/>
        <v>Fatima Chaudhry</v>
      </c>
      <c r="D424" s="17">
        <v>0.15</v>
      </c>
      <c r="E424" s="15">
        <f>IFERROR(IF(Raw_Data!N420="", 0, IF(Raw_Data!N420&gt;1, Raw_Data!N420/100, Raw_Data!N420)), 0)</f>
        <v>0.15</v>
      </c>
      <c r="F424" s="15">
        <f>IFERROR(VALUE(Raw_Data!O420), Raw_Data!L420*Raw_Data!M420)</f>
        <v>2796.15</v>
      </c>
    </row>
    <row r="425" spans="2:6" x14ac:dyDescent="0.35">
      <c r="B425" s="13" t="s">
        <v>576</v>
      </c>
      <c r="C425" s="15" t="str">
        <f t="shared" si="6"/>
        <v>Rabia Sheikh</v>
      </c>
      <c r="D425" s="17">
        <v>0.1</v>
      </c>
      <c r="E425" s="15">
        <f>IFERROR(IF(Raw_Data!N421="", 0, IF(Raw_Data!N421&gt;1, Raw_Data!N421/100, Raw_Data!N421)), 0)</f>
        <v>0.1</v>
      </c>
      <c r="F425" s="15">
        <f>IFERROR(VALUE(Raw_Data!O421), Raw_Data!L421*Raw_Data!M421)</f>
        <v>4327.3999999999996</v>
      </c>
    </row>
    <row r="426" spans="2:6" x14ac:dyDescent="0.35">
      <c r="B426" s="13" t="s">
        <v>261</v>
      </c>
      <c r="C426" s="15" t="str">
        <f t="shared" si="6"/>
        <v>Mahnoor Malik</v>
      </c>
      <c r="D426" s="17">
        <v>0.15</v>
      </c>
      <c r="E426" s="15">
        <f>IFERROR(IF(Raw_Data!N422="", 0, IF(Raw_Data!N422&gt;1, Raw_Data!N422/100, Raw_Data!N422)), 0)</f>
        <v>0.15</v>
      </c>
      <c r="F426" s="15">
        <f>IFERROR(VALUE(Raw_Data!O422), Raw_Data!L422*Raw_Data!M422)</f>
        <v>972.36</v>
      </c>
    </row>
    <row r="427" spans="2:6" x14ac:dyDescent="0.35">
      <c r="B427" s="13" t="s">
        <v>688</v>
      </c>
      <c r="C427" s="15" t="str">
        <f t="shared" si="6"/>
        <v>Hassan Raza</v>
      </c>
      <c r="D427" s="17">
        <v>0</v>
      </c>
      <c r="E427" s="15">
        <f>IFERROR(IF(Raw_Data!N423="", 0, IF(Raw_Data!N423&gt;1, Raw_Data!N423/100, Raw_Data!N423)), 0)</f>
        <v>0</v>
      </c>
      <c r="F427" s="15">
        <f>IFERROR(VALUE(Raw_Data!O423), Raw_Data!L423*Raw_Data!M423)</f>
        <v>2485.2800000000002</v>
      </c>
    </row>
    <row r="428" spans="2:6" x14ac:dyDescent="0.35">
      <c r="B428" s="13" t="s">
        <v>131</v>
      </c>
      <c r="C428" s="15" t="str">
        <f t="shared" si="6"/>
        <v>Ahmed Iqbal</v>
      </c>
      <c r="D428" s="17">
        <v>0</v>
      </c>
      <c r="E428" s="15">
        <f>IFERROR(IF(Raw_Data!N424="", 0, IF(Raw_Data!N424&gt;1, Raw_Data!N424/100, Raw_Data!N424)), 0)</f>
        <v>0</v>
      </c>
      <c r="F428" s="15">
        <f>IFERROR(VALUE(Raw_Data!O424), Raw_Data!L424*Raw_Data!M424)</f>
        <v>3575.58</v>
      </c>
    </row>
    <row r="429" spans="2:6" x14ac:dyDescent="0.35">
      <c r="B429" s="13" t="s">
        <v>723</v>
      </c>
      <c r="C429" s="15" t="str">
        <f t="shared" si="6"/>
        <v>Hina Khan</v>
      </c>
      <c r="D429" s="17">
        <v>0.15</v>
      </c>
      <c r="E429" s="15">
        <f>IFERROR(IF(Raw_Data!N425="", 0, IF(Raw_Data!N425&gt;1, Raw_Data!N425/100, Raw_Data!N425)), 0)</f>
        <v>0.15</v>
      </c>
      <c r="F429" s="15">
        <f>IFERROR(VALUE(Raw_Data!O425), Raw_Data!L425*Raw_Data!M425)</f>
        <v>819.6</v>
      </c>
    </row>
    <row r="430" spans="2:6" x14ac:dyDescent="0.35">
      <c r="B430" s="13" t="s">
        <v>510</v>
      </c>
      <c r="C430" s="15" t="str">
        <f t="shared" si="6"/>
        <v>Hassan Iqbal</v>
      </c>
      <c r="D430" s="17">
        <v>0.3</v>
      </c>
      <c r="E430" s="15">
        <f>IFERROR(IF(Raw_Data!N426="", 0, IF(Raw_Data!N426&gt;1, Raw_Data!N426/100, Raw_Data!N426)), 0)</f>
        <v>0.3</v>
      </c>
      <c r="F430" s="15">
        <f>IFERROR(VALUE(Raw_Data!O426), Raw_Data!L426*Raw_Data!M426)</f>
        <v>376.48</v>
      </c>
    </row>
    <row r="431" spans="2:6" x14ac:dyDescent="0.35">
      <c r="B431" s="13" t="s">
        <v>395</v>
      </c>
      <c r="C431" s="15" t="str">
        <f t="shared" si="6"/>
        <v>Usman Farooq</v>
      </c>
      <c r="D431" s="17">
        <v>0.1</v>
      </c>
      <c r="E431" s="15">
        <f>IFERROR(IF(Raw_Data!N427="", 0, IF(Raw_Data!N427&gt;1, Raw_Data!N427/100, Raw_Data!N427)), 0)</f>
        <v>0.1</v>
      </c>
      <c r="F431" s="15">
        <f>IFERROR(VALUE(Raw_Data!O427), Raw_Data!L427*Raw_Data!M427)</f>
        <v>2203.3000000000002</v>
      </c>
    </row>
    <row r="432" spans="2:6" x14ac:dyDescent="0.35">
      <c r="B432" s="13" t="s">
        <v>727</v>
      </c>
      <c r="C432" s="15" t="str">
        <f t="shared" si="6"/>
        <v>Fatima Sheikh</v>
      </c>
      <c r="D432" s="17">
        <v>0</v>
      </c>
      <c r="E432" s="15">
        <f>IFERROR(IF(Raw_Data!N428="", 0, IF(Raw_Data!N428&gt;1, Raw_Data!N428/100, Raw_Data!N428)), 0)</f>
        <v>0</v>
      </c>
      <c r="F432" s="15">
        <f>IFERROR(VALUE(Raw_Data!O428), Raw_Data!L428*Raw_Data!M428)</f>
        <v>673.56</v>
      </c>
    </row>
    <row r="433" spans="2:6" x14ac:dyDescent="0.35">
      <c r="B433" s="13" t="s">
        <v>567</v>
      </c>
      <c r="C433" s="15" t="str">
        <f t="shared" si="6"/>
        <v>Mahnoor Chaudhry</v>
      </c>
      <c r="D433" s="17">
        <v>0.3</v>
      </c>
      <c r="E433" s="15">
        <f>IFERROR(IF(Raw_Data!N429="", 0, IF(Raw_Data!N429&gt;1, Raw_Data!N429/100, Raw_Data!N429)), 0)</f>
        <v>0.3</v>
      </c>
      <c r="F433" s="15">
        <f>IFERROR(VALUE(Raw_Data!O429), Raw_Data!L429*Raw_Data!M429)</f>
        <v>2337.2399999999998</v>
      </c>
    </row>
    <row r="434" spans="2:6" x14ac:dyDescent="0.35">
      <c r="B434" s="13">
        <v>0</v>
      </c>
      <c r="C434" s="15" t="str">
        <f t="shared" si="6"/>
        <v>Unknown Customer</v>
      </c>
      <c r="D434" s="17">
        <v>0</v>
      </c>
      <c r="E434" s="15">
        <f>IFERROR(IF(Raw_Data!N430="", 0, IF(Raw_Data!N430&gt;1, Raw_Data!N430/100, Raw_Data!N430)), 0)</f>
        <v>0</v>
      </c>
      <c r="F434" s="15">
        <f>IFERROR(VALUE(Raw_Data!O430), Raw_Data!L430*Raw_Data!M430)</f>
        <v>2574.56</v>
      </c>
    </row>
    <row r="435" spans="2:6" x14ac:dyDescent="0.35">
      <c r="B435" s="13" t="s">
        <v>340</v>
      </c>
      <c r="C435" s="15" t="str">
        <f t="shared" si="6"/>
        <v>Rabia Qureshi</v>
      </c>
      <c r="D435" s="17">
        <v>0.2</v>
      </c>
      <c r="E435" s="15">
        <f>IFERROR(IF(Raw_Data!N431="", 0, IF(Raw_Data!N431&gt;1, Raw_Data!N431/100, Raw_Data!N431)), 0)</f>
        <v>0.2</v>
      </c>
      <c r="F435" s="15">
        <f>IFERROR(VALUE(Raw_Data!O431), Raw_Data!L431*Raw_Data!M431)</f>
        <v>6289.36</v>
      </c>
    </row>
    <row r="436" spans="2:6" x14ac:dyDescent="0.35">
      <c r="B436" s="13" t="s">
        <v>243</v>
      </c>
      <c r="C436" s="15" t="str">
        <f t="shared" si="6"/>
        <v>Zara Khan</v>
      </c>
      <c r="D436" s="17">
        <v>0</v>
      </c>
      <c r="E436" s="15">
        <f>IFERROR(IF(Raw_Data!N432="", 0, IF(Raw_Data!N432&gt;1, Raw_Data!N432/100, Raw_Data!N432)), 0)</f>
        <v>0</v>
      </c>
      <c r="F436" s="15">
        <f>IFERROR(VALUE(Raw_Data!O432), Raw_Data!L432*Raw_Data!M432)</f>
        <v>1891.35</v>
      </c>
    </row>
    <row r="437" spans="2:6" x14ac:dyDescent="0.35">
      <c r="B437" s="13" t="s">
        <v>171</v>
      </c>
      <c r="C437" s="15" t="str">
        <f t="shared" si="6"/>
        <v>Sara Khan</v>
      </c>
      <c r="D437" s="17">
        <v>0.3</v>
      </c>
      <c r="E437" s="15">
        <f>IFERROR(IF(Raw_Data!N433="", 0, IF(Raw_Data!N433&gt;1, Raw_Data!N433/100, Raw_Data!N433)), 0)</f>
        <v>0.3</v>
      </c>
      <c r="F437" s="15">
        <f>IFERROR(VALUE(Raw_Data!O433), Raw_Data!L433*Raw_Data!M433)</f>
        <v>107.31</v>
      </c>
    </row>
    <row r="438" spans="2:6" x14ac:dyDescent="0.35">
      <c r="B438" s="13" t="s">
        <v>463</v>
      </c>
      <c r="C438" s="15" t="str">
        <f t="shared" si="6"/>
        <v>Tariq Iqbal</v>
      </c>
      <c r="D438" s="17">
        <v>0.1</v>
      </c>
      <c r="E438" s="15">
        <f>IFERROR(IF(Raw_Data!N434="", 0, IF(Raw_Data!N434&gt;1, Raw_Data!N434/100, Raw_Data!N434)), 0)</f>
        <v>0.1</v>
      </c>
      <c r="F438" s="15">
        <f>IFERROR(VALUE(Raw_Data!O434), Raw_Data!L434*Raw_Data!M434)</f>
        <v>1700.08</v>
      </c>
    </row>
    <row r="439" spans="2:6" x14ac:dyDescent="0.35">
      <c r="B439" s="13" t="s">
        <v>291</v>
      </c>
      <c r="C439" s="15" t="str">
        <f t="shared" si="6"/>
        <v>Nida Farooq</v>
      </c>
      <c r="D439" s="17">
        <v>0</v>
      </c>
      <c r="E439" s="15">
        <f>IFERROR(IF(Raw_Data!N435="", 0, IF(Raw_Data!N435&gt;1, Raw_Data!N435/100, Raw_Data!N435)), 0)</f>
        <v>0</v>
      </c>
      <c r="F439" s="15">
        <f>IFERROR(VALUE(Raw_Data!O435), Raw_Data!L435*Raw_Data!M435)</f>
        <v>742.35</v>
      </c>
    </row>
    <row r="440" spans="2:6" x14ac:dyDescent="0.35">
      <c r="B440" s="13" t="s">
        <v>368</v>
      </c>
      <c r="C440" s="15" t="str">
        <f t="shared" si="6"/>
        <v>Hassan Khan</v>
      </c>
      <c r="D440" s="17">
        <v>0.15</v>
      </c>
      <c r="E440" s="15">
        <f>IFERROR(IF(Raw_Data!N436="", 0, IF(Raw_Data!N436&gt;1, Raw_Data!N436/100, Raw_Data!N436)), 0)</f>
        <v>0.15</v>
      </c>
      <c r="F440" s="15">
        <f>IFERROR(VALUE(Raw_Data!O436), Raw_Data!L436*Raw_Data!M436)</f>
        <v>674.75</v>
      </c>
    </row>
    <row r="441" spans="2:6" x14ac:dyDescent="0.35">
      <c r="B441" s="13" t="s">
        <v>737</v>
      </c>
      <c r="C441" s="15" t="str">
        <f t="shared" si="6"/>
        <v>Hassan Ansari</v>
      </c>
      <c r="D441" s="17">
        <v>0.1</v>
      </c>
      <c r="E441" s="15">
        <f>IFERROR(IF(Raw_Data!N437="", 0, IF(Raw_Data!N437&gt;1, Raw_Data!N437/100, Raw_Data!N437)), 0)</f>
        <v>0.1</v>
      </c>
      <c r="F441" s="15">
        <f>IFERROR(VALUE(Raw_Data!O437), Raw_Data!L437*Raw_Data!M437)</f>
        <v>3141.2</v>
      </c>
    </row>
    <row r="442" spans="2:6" x14ac:dyDescent="0.35">
      <c r="B442" s="13" t="s">
        <v>204</v>
      </c>
      <c r="C442" s="15" t="str">
        <f t="shared" si="6"/>
        <v>Faisal Farooq</v>
      </c>
      <c r="D442" s="17">
        <v>0</v>
      </c>
      <c r="E442" s="15">
        <f>IFERROR(IF(Raw_Data!N438="", 0, IF(Raw_Data!N438&gt;1, Raw_Data!N438/100, Raw_Data!N438)), 0)</f>
        <v>0</v>
      </c>
      <c r="F442" s="15">
        <f>IFERROR(VALUE(Raw_Data!O438), Raw_Data!L438*Raw_Data!M438)</f>
        <v>9025.7999999999993</v>
      </c>
    </row>
    <row r="443" spans="2:6" x14ac:dyDescent="0.35">
      <c r="B443" s="13" t="s">
        <v>200</v>
      </c>
      <c r="C443" s="15" t="str">
        <f t="shared" si="6"/>
        <v>Nida Malik</v>
      </c>
      <c r="D443" s="17">
        <v>0.1</v>
      </c>
      <c r="E443" s="15">
        <f>IFERROR(IF(Raw_Data!N439="", 0, IF(Raw_Data!N439&gt;1, Raw_Data!N439/100, Raw_Data!N439)), 0)</f>
        <v>0.1</v>
      </c>
      <c r="F443" s="15">
        <f>IFERROR(VALUE(Raw_Data!O439), Raw_Data!L439*Raw_Data!M439)</f>
        <v>1409.84</v>
      </c>
    </row>
    <row r="444" spans="2:6" x14ac:dyDescent="0.35">
      <c r="B444" s="13" t="s">
        <v>617</v>
      </c>
      <c r="C444" s="15" t="str">
        <f t="shared" si="6"/>
        <v>Nida Qureshi</v>
      </c>
      <c r="D444" s="17">
        <v>0.2</v>
      </c>
      <c r="E444" s="15">
        <f>IFERROR(IF(Raw_Data!N440="", 0, IF(Raw_Data!N440&gt;1, Raw_Data!N440/100, Raw_Data!N440)), 0)</f>
        <v>0.2</v>
      </c>
      <c r="F444" s="15">
        <f>IFERROR(VALUE(Raw_Data!O440), Raw_Data!L440*Raw_Data!M440)</f>
        <v>6211.68</v>
      </c>
    </row>
    <row r="445" spans="2:6" x14ac:dyDescent="0.35">
      <c r="B445" s="13" t="s">
        <v>120</v>
      </c>
      <c r="C445" s="15" t="str">
        <f t="shared" si="6"/>
        <v>Adeel Qureshi</v>
      </c>
      <c r="D445" s="17">
        <v>0.2</v>
      </c>
      <c r="E445" s="15">
        <f>IFERROR(IF(Raw_Data!N441="", 0, IF(Raw_Data!N441&gt;1, Raw_Data!N441/100, Raw_Data!N441)), 0)</f>
        <v>0.2</v>
      </c>
      <c r="F445" s="15">
        <f>IFERROR(VALUE(Raw_Data!O441), Raw_Data!L441*Raw_Data!M441)</f>
        <v>3738.84</v>
      </c>
    </row>
    <row r="446" spans="2:6" x14ac:dyDescent="0.35">
      <c r="B446" s="13" t="s">
        <v>685</v>
      </c>
      <c r="C446" s="15" t="str">
        <f t="shared" si="6"/>
        <v>Hina Raza</v>
      </c>
      <c r="D446" s="17">
        <v>0</v>
      </c>
      <c r="E446" s="15">
        <f>IFERROR(IF(Raw_Data!N442="", 0, IF(Raw_Data!N442&gt;1, Raw_Data!N442/100, Raw_Data!N442)), 0)</f>
        <v>0</v>
      </c>
      <c r="F446" s="15">
        <f>IFERROR(VALUE(Raw_Data!O442), Raw_Data!L442*Raw_Data!M442)</f>
        <v>1354.2</v>
      </c>
    </row>
    <row r="447" spans="2:6" x14ac:dyDescent="0.35">
      <c r="B447" s="13" t="s">
        <v>708</v>
      </c>
      <c r="C447" s="15" t="str">
        <f t="shared" si="6"/>
        <v>Ahmed Sheikh</v>
      </c>
      <c r="D447" s="17">
        <v>0.15</v>
      </c>
      <c r="E447" s="15">
        <f>IFERROR(IF(Raw_Data!N443="", 0, IF(Raw_Data!N443&gt;1, Raw_Data!N443/100, Raw_Data!N443)), 0)</f>
        <v>0.15</v>
      </c>
      <c r="F447" s="15">
        <f>IFERROR(VALUE(Raw_Data!O443), Raw_Data!L443*Raw_Data!M443)</f>
        <v>9218.33</v>
      </c>
    </row>
    <row r="448" spans="2:6" x14ac:dyDescent="0.35">
      <c r="B448" s="13" t="s">
        <v>293</v>
      </c>
      <c r="C448" s="15" t="str">
        <f t="shared" si="6"/>
        <v>Ahmed Raza</v>
      </c>
      <c r="D448" s="17">
        <v>0</v>
      </c>
      <c r="E448" s="15">
        <f>IFERROR(IF(Raw_Data!N444="", 0, IF(Raw_Data!N444&gt;1, Raw_Data!N444/100, Raw_Data!N444)), 0)</f>
        <v>0</v>
      </c>
      <c r="F448" s="15">
        <f>IFERROR(VALUE(Raw_Data!O444), Raw_Data!L444*Raw_Data!M444)</f>
        <v>6398.28</v>
      </c>
    </row>
    <row r="449" spans="2:6" x14ac:dyDescent="0.35">
      <c r="B449" s="13" t="s">
        <v>373</v>
      </c>
      <c r="C449" s="15" t="str">
        <f t="shared" si="6"/>
        <v>Kamran Raza</v>
      </c>
      <c r="D449" s="17">
        <v>0.15</v>
      </c>
      <c r="E449" s="15">
        <f>IFERROR(IF(Raw_Data!N445="", 0, IF(Raw_Data!N445&gt;1, Raw_Data!N445/100, Raw_Data!N445)), 0)</f>
        <v>0.15</v>
      </c>
      <c r="F449" s="15">
        <f>IFERROR(VALUE(Raw_Data!O445), Raw_Data!L445*Raw_Data!M445)</f>
        <v>1131.04</v>
      </c>
    </row>
    <row r="450" spans="2:6" x14ac:dyDescent="0.35">
      <c r="B450" s="13" t="s">
        <v>631</v>
      </c>
      <c r="C450" s="15" t="str">
        <f t="shared" si="6"/>
        <v>Tariq Khan</v>
      </c>
      <c r="D450" s="17">
        <v>0.2</v>
      </c>
      <c r="E450" s="15">
        <f>IFERROR(IF(Raw_Data!N446="", 0, IF(Raw_Data!N446&gt;1, Raw_Data!N446/100, Raw_Data!N446)), 0)</f>
        <v>0.2</v>
      </c>
      <c r="F450" s="15">
        <f>IFERROR(VALUE(Raw_Data!O446), Raw_Data!L446*Raw_Data!M446)</f>
        <v>8817.49</v>
      </c>
    </row>
    <row r="451" spans="2:6" x14ac:dyDescent="0.35">
      <c r="B451" s="13" t="s">
        <v>748</v>
      </c>
      <c r="C451" s="15" t="str">
        <f t="shared" si="6"/>
        <v>Kamran Khan</v>
      </c>
      <c r="D451" s="17">
        <v>0.1</v>
      </c>
      <c r="E451" s="15">
        <f>IFERROR(IF(Raw_Data!N447="", 0, IF(Raw_Data!N447&gt;1, Raw_Data!N447/100, Raw_Data!N447)), 0)</f>
        <v>0.1</v>
      </c>
      <c r="F451" s="15">
        <f>IFERROR(VALUE(Raw_Data!O447), Raw_Data!L447*Raw_Data!M447)</f>
        <v>2527.56</v>
      </c>
    </row>
    <row r="452" spans="2:6" x14ac:dyDescent="0.35">
      <c r="B452" s="13" t="s">
        <v>750</v>
      </c>
      <c r="C452" s="15" t="str">
        <f t="shared" si="6"/>
        <v>Faisal Qureshi</v>
      </c>
      <c r="D452" s="17">
        <v>0</v>
      </c>
      <c r="E452" s="15">
        <f>IFERROR(IF(Raw_Data!N448="", 0, IF(Raw_Data!N448&gt;1, Raw_Data!N448/100, Raw_Data!N448)), 0)</f>
        <v>0</v>
      </c>
      <c r="F452" s="15">
        <f>IFERROR(VALUE(Raw_Data!O448), Raw_Data!L448*Raw_Data!M448)</f>
        <v>9336.6</v>
      </c>
    </row>
    <row r="453" spans="2:6" x14ac:dyDescent="0.35">
      <c r="B453" s="13" t="s">
        <v>437</v>
      </c>
      <c r="C453" s="15" t="str">
        <f t="shared" si="6"/>
        <v>Bilal Raza</v>
      </c>
      <c r="D453" s="17">
        <v>0</v>
      </c>
      <c r="E453" s="15">
        <f>IFERROR(IF(Raw_Data!N449="", 0, IF(Raw_Data!N449&gt;1, Raw_Data!N449/100, Raw_Data!N449)), 0)</f>
        <v>0</v>
      </c>
      <c r="F453" s="15">
        <f>IFERROR(VALUE(Raw_Data!O449), Raw_Data!L449*Raw_Data!M449)</f>
        <v>4329.72</v>
      </c>
    </row>
    <row r="454" spans="2:6" x14ac:dyDescent="0.35">
      <c r="B454" s="13" t="s">
        <v>324</v>
      </c>
      <c r="C454" s="15" t="str">
        <f t="shared" si="6"/>
        <v>Hassan Butt</v>
      </c>
      <c r="D454" s="17">
        <v>0.2</v>
      </c>
      <c r="E454" s="15">
        <f>IFERROR(IF(Raw_Data!N450="", 0, IF(Raw_Data!N450&gt;1, Raw_Data!N450/100, Raw_Data!N450)), 0)</f>
        <v>0.2</v>
      </c>
      <c r="F454" s="15">
        <f>IFERROR(VALUE(Raw_Data!O450), Raw_Data!L450*Raw_Data!M450)</f>
        <v>4614.28</v>
      </c>
    </row>
    <row r="455" spans="2:6" x14ac:dyDescent="0.35">
      <c r="B455" s="13" t="s">
        <v>158</v>
      </c>
      <c r="C455" s="15" t="str">
        <f t="shared" ref="C455:C518" si="7">IF(OR(B455="",B455=0), "Unknown Customer", PROPER(TRIM(B455)))</f>
        <v>Mahnoor Khan</v>
      </c>
      <c r="D455" s="17">
        <v>0</v>
      </c>
      <c r="E455" s="15">
        <f>IFERROR(IF(Raw_Data!N451="", 0, IF(Raw_Data!N451&gt;1, Raw_Data!N451/100, Raw_Data!N451)), 0)</f>
        <v>0</v>
      </c>
      <c r="F455" s="15">
        <f>IFERROR(VALUE(Raw_Data!O451), Raw_Data!L451*Raw_Data!M451)</f>
        <v>3190.4</v>
      </c>
    </row>
    <row r="456" spans="2:6" x14ac:dyDescent="0.35">
      <c r="B456" s="13" t="s">
        <v>478</v>
      </c>
      <c r="C456" s="15" t="str">
        <f t="shared" si="7"/>
        <v>Adeel Sheikh</v>
      </c>
      <c r="D456" s="17">
        <v>0.1</v>
      </c>
      <c r="E456" s="15">
        <f>IFERROR(IF(Raw_Data!N452="", 0, IF(Raw_Data!N452&gt;1, Raw_Data!N452/100, Raw_Data!N452)), 0)</f>
        <v>0.1</v>
      </c>
      <c r="F456" s="15">
        <f>IFERROR(VALUE(Raw_Data!O452), Raw_Data!L452*Raw_Data!M452)</f>
        <v>3447.36</v>
      </c>
    </row>
    <row r="457" spans="2:6" x14ac:dyDescent="0.35">
      <c r="B457" s="13" t="s">
        <v>71</v>
      </c>
      <c r="C457" s="15" t="str">
        <f t="shared" si="7"/>
        <v>Nida Khan</v>
      </c>
      <c r="D457" s="17">
        <v>0.1</v>
      </c>
      <c r="E457" s="15">
        <f>IFERROR(IF(Raw_Data!N453="", 0, IF(Raw_Data!N453&gt;1, Raw_Data!N453/100, Raw_Data!N453)), 0)</f>
        <v>0.1</v>
      </c>
      <c r="F457" s="15">
        <f>IFERROR(VALUE(Raw_Data!O453), Raw_Data!L453*Raw_Data!M453)</f>
        <v>572.79999999999995</v>
      </c>
    </row>
    <row r="458" spans="2:6" x14ac:dyDescent="0.35">
      <c r="B458" s="13" t="s">
        <v>424</v>
      </c>
      <c r="C458" s="15" t="str">
        <f t="shared" si="7"/>
        <v>Tariq Qureshi</v>
      </c>
      <c r="D458" s="17">
        <v>0.2</v>
      </c>
      <c r="E458" s="15">
        <f>IFERROR(IF(Raw_Data!N454="", 0, IF(Raw_Data!N454&gt;1, Raw_Data!N454/100, Raw_Data!N454)), 0)</f>
        <v>0.2</v>
      </c>
      <c r="F458" s="15">
        <f>IFERROR(VALUE(Raw_Data!O454), Raw_Data!L454*Raw_Data!M454)</f>
        <v>2525.88</v>
      </c>
    </row>
    <row r="459" spans="2:6" x14ac:dyDescent="0.35">
      <c r="B459" s="13" t="s">
        <v>758</v>
      </c>
      <c r="C459" s="15" t="str">
        <f t="shared" si="7"/>
        <v>Sara Farooq</v>
      </c>
      <c r="D459" s="17">
        <v>0.1</v>
      </c>
      <c r="E459" s="15">
        <f>IFERROR(IF(Raw_Data!N455="", 0, IF(Raw_Data!N455&gt;1, Raw_Data!N455/100, Raw_Data!N455)), 0)</f>
        <v>0.1</v>
      </c>
      <c r="F459" s="15">
        <f>IFERROR(VALUE(Raw_Data!O455), Raw_Data!L455*Raw_Data!M455)</f>
        <v>6776.64</v>
      </c>
    </row>
    <row r="460" spans="2:6" x14ac:dyDescent="0.35">
      <c r="B460" s="13" t="s">
        <v>135</v>
      </c>
      <c r="C460" s="15" t="str">
        <f t="shared" si="7"/>
        <v>Adeel Malik</v>
      </c>
      <c r="D460" s="17">
        <v>0.1</v>
      </c>
      <c r="E460" s="15">
        <f>IFERROR(IF(Raw_Data!N456="", 0, IF(Raw_Data!N456&gt;1, Raw_Data!N456/100, Raw_Data!N456)), 0)</f>
        <v>0.1</v>
      </c>
      <c r="F460" s="15">
        <f>IFERROR(VALUE(Raw_Data!O456), Raw_Data!L456*Raw_Data!M456)</f>
        <v>128.11000000000001</v>
      </c>
    </row>
    <row r="461" spans="2:6" x14ac:dyDescent="0.35">
      <c r="B461" s="13" t="s">
        <v>26</v>
      </c>
      <c r="C461" s="15" t="str">
        <f t="shared" si="7"/>
        <v>Fatima Raza</v>
      </c>
      <c r="D461" s="17">
        <v>0.2</v>
      </c>
      <c r="E461" s="15">
        <f>IFERROR(IF(Raw_Data!N457="", 0, IF(Raw_Data!N457&gt;1, Raw_Data!N457/100, Raw_Data!N457)), 0)</f>
        <v>0.2</v>
      </c>
      <c r="F461" s="15">
        <f>IFERROR(VALUE(Raw_Data!O457), Raw_Data!L457*Raw_Data!M457)</f>
        <v>1782.05</v>
      </c>
    </row>
    <row r="462" spans="2:6" x14ac:dyDescent="0.35">
      <c r="B462" s="13" t="s">
        <v>207</v>
      </c>
      <c r="C462" s="15" t="str">
        <f t="shared" si="7"/>
        <v>Kamran Butt</v>
      </c>
      <c r="D462" s="17">
        <v>0</v>
      </c>
      <c r="E462" s="15">
        <f>IFERROR(IF(Raw_Data!N458="", 0, IF(Raw_Data!N458&gt;1, Raw_Data!N458/100, Raw_Data!N458)), 0)</f>
        <v>0</v>
      </c>
      <c r="F462" s="15">
        <f>IFERROR(VALUE(Raw_Data!O458), Raw_Data!L458*Raw_Data!M458)</f>
        <v>9218.64</v>
      </c>
    </row>
    <row r="463" spans="2:6" x14ac:dyDescent="0.35">
      <c r="B463" s="13" t="s">
        <v>186</v>
      </c>
      <c r="C463" s="15" t="str">
        <f t="shared" si="7"/>
        <v>Ali Qureshi</v>
      </c>
      <c r="D463" s="17">
        <v>0.1</v>
      </c>
      <c r="E463" s="15">
        <f>IFERROR(IF(Raw_Data!N459="", 0, IF(Raw_Data!N459&gt;1, Raw_Data!N459/100, Raw_Data!N459)), 0)</f>
        <v>0.1</v>
      </c>
      <c r="F463" s="15">
        <f>IFERROR(VALUE(Raw_Data!O459), Raw_Data!L459*Raw_Data!M459)</f>
        <v>48.55</v>
      </c>
    </row>
    <row r="464" spans="2:6" x14ac:dyDescent="0.35">
      <c r="B464" s="13" t="s">
        <v>272</v>
      </c>
      <c r="C464" s="15" t="str">
        <f t="shared" si="7"/>
        <v>Imran Raza</v>
      </c>
      <c r="D464" s="17">
        <v>0.2</v>
      </c>
      <c r="E464" s="15">
        <f>IFERROR(IF(Raw_Data!N460="", 0, IF(Raw_Data!N460&gt;1, Raw_Data!N460/100, Raw_Data!N460)), 0)</f>
        <v>0.2</v>
      </c>
      <c r="F464" s="15">
        <f>IFERROR(VALUE(Raw_Data!O460), Raw_Data!L460*Raw_Data!M460)</f>
        <v>49.32</v>
      </c>
    </row>
    <row r="465" spans="2:6" x14ac:dyDescent="0.35">
      <c r="B465" s="13" t="s">
        <v>34</v>
      </c>
      <c r="C465" s="15" t="str">
        <f t="shared" si="7"/>
        <v>Zara Iqbal</v>
      </c>
      <c r="D465" s="17">
        <v>0</v>
      </c>
      <c r="E465" s="15">
        <f>IFERROR(IF(Raw_Data!N461="", 0, IF(Raw_Data!N461&gt;1, Raw_Data!N461/100, Raw_Data!N461)), 0)</f>
        <v>0</v>
      </c>
      <c r="F465" s="15">
        <f>IFERROR(VALUE(Raw_Data!O461), Raw_Data!L461*Raw_Data!M461)</f>
        <v>1244.79</v>
      </c>
    </row>
    <row r="466" spans="2:6" x14ac:dyDescent="0.35">
      <c r="B466" s="13" t="s">
        <v>126</v>
      </c>
      <c r="C466" s="15" t="str">
        <f t="shared" si="7"/>
        <v>Ahmed Chaudhry</v>
      </c>
      <c r="D466" s="17">
        <v>0</v>
      </c>
      <c r="E466" s="15">
        <f>IFERROR(IF(Raw_Data!N462="", 0, IF(Raw_Data!N462&gt;1, Raw_Data!N462/100, Raw_Data!N462)), 0)</f>
        <v>0</v>
      </c>
      <c r="F466" s="15">
        <f>IFERROR(VALUE(Raw_Data!O462), Raw_Data!L462*Raw_Data!M462)</f>
        <v>809.18</v>
      </c>
    </row>
    <row r="467" spans="2:6" x14ac:dyDescent="0.35">
      <c r="B467" s="13" t="s">
        <v>389</v>
      </c>
      <c r="C467" s="15" t="str">
        <f t="shared" si="7"/>
        <v>Ahmed Khan</v>
      </c>
      <c r="D467" s="17">
        <v>0</v>
      </c>
      <c r="E467" s="15">
        <f>IFERROR(IF(Raw_Data!N463="", 0, IF(Raw_Data!N463&gt;1, Raw_Data!N463/100, Raw_Data!N463)), 0)</f>
        <v>0</v>
      </c>
      <c r="F467" s="15">
        <f>IFERROR(VALUE(Raw_Data!O463), Raw_Data!L463*Raw_Data!M463)</f>
        <v>4608.4799999999996</v>
      </c>
    </row>
    <row r="468" spans="2:6" x14ac:dyDescent="0.35">
      <c r="B468" s="13" t="s">
        <v>98</v>
      </c>
      <c r="C468" s="15" t="str">
        <f t="shared" si="7"/>
        <v>Sana Ansari</v>
      </c>
      <c r="D468" s="17">
        <v>0</v>
      </c>
      <c r="E468" s="15">
        <f>IFERROR(IF(Raw_Data!N464="", 0, IF(Raw_Data!N464&gt;1, Raw_Data!N464/100, Raw_Data!N464)), 0)</f>
        <v>0</v>
      </c>
      <c r="F468" s="15">
        <f>IFERROR(VALUE(Raw_Data!O464), Raw_Data!L464*Raw_Data!M464)</f>
        <v>1266.06</v>
      </c>
    </row>
    <row r="469" spans="2:6" x14ac:dyDescent="0.35">
      <c r="B469" s="13" t="s">
        <v>768</v>
      </c>
      <c r="C469" s="15" t="str">
        <f t="shared" si="7"/>
        <v>Bilal Raza</v>
      </c>
      <c r="D469" s="17">
        <v>0</v>
      </c>
      <c r="E469" s="15">
        <f>IFERROR(IF(Raw_Data!N465="", 0, IF(Raw_Data!N465&gt;1, Raw_Data!N465/100, Raw_Data!N465)), 0)</f>
        <v>0</v>
      </c>
      <c r="F469" s="15">
        <f>IFERROR(VALUE(Raw_Data!O465), Raw_Data!L465*Raw_Data!M465)</f>
        <v>895.68</v>
      </c>
    </row>
    <row r="470" spans="2:6" x14ac:dyDescent="0.35">
      <c r="B470" s="13" t="s">
        <v>770</v>
      </c>
      <c r="C470" s="15" t="str">
        <f t="shared" si="7"/>
        <v>Mahnoor Farooq</v>
      </c>
      <c r="D470" s="17">
        <v>0</v>
      </c>
      <c r="E470" s="15">
        <f>IFERROR(IF(Raw_Data!N466="", 0, IF(Raw_Data!N466&gt;1, Raw_Data!N466/100, Raw_Data!N466)), 0)</f>
        <v>0</v>
      </c>
      <c r="F470" s="15">
        <f>IFERROR(VALUE(Raw_Data!O466), Raw_Data!L466*Raw_Data!M466)</f>
        <v>218.1</v>
      </c>
    </row>
    <row r="471" spans="2:6" x14ac:dyDescent="0.35">
      <c r="B471" s="13" t="s">
        <v>772</v>
      </c>
      <c r="C471" s="15" t="str">
        <f t="shared" si="7"/>
        <v>Zara Sheikh</v>
      </c>
      <c r="D471" s="17">
        <v>0</v>
      </c>
      <c r="E471" s="15">
        <f>IFERROR(IF(Raw_Data!N467="", 0, IF(Raw_Data!N467&gt;1, Raw_Data!N467/100, Raw_Data!N467)), 0)</f>
        <v>0</v>
      </c>
      <c r="F471" s="15">
        <f>IFERROR(VALUE(Raw_Data!O467), Raw_Data!L467*Raw_Data!M467)</f>
        <v>4334.16</v>
      </c>
    </row>
    <row r="472" spans="2:6" x14ac:dyDescent="0.35">
      <c r="B472" s="13" t="s">
        <v>241</v>
      </c>
      <c r="C472" s="15" t="str">
        <f t="shared" si="7"/>
        <v>Usman Sheikh</v>
      </c>
      <c r="D472" s="17">
        <v>0.15</v>
      </c>
      <c r="E472" s="15">
        <f>IFERROR(IF(Raw_Data!N468="", 0, IF(Raw_Data!N468&gt;1, Raw_Data!N468/100, Raw_Data!N468)), 0)</f>
        <v>0.15</v>
      </c>
      <c r="F472" s="15">
        <f>IFERROR(VALUE(Raw_Data!O468), Raw_Data!L468*Raw_Data!M468)</f>
        <v>1673.88</v>
      </c>
    </row>
    <row r="473" spans="2:6" x14ac:dyDescent="0.35">
      <c r="B473" s="13" t="s">
        <v>775</v>
      </c>
      <c r="C473" s="15" t="str">
        <f t="shared" si="7"/>
        <v>Ahmed Farooq</v>
      </c>
      <c r="D473" s="17">
        <v>0.2</v>
      </c>
      <c r="E473" s="15">
        <f>IFERROR(IF(Raw_Data!N469="", 0, IF(Raw_Data!N469&gt;1, Raw_Data!N469/100, Raw_Data!N469)), 0)</f>
        <v>0.2</v>
      </c>
      <c r="F473" s="15">
        <f>IFERROR(VALUE(Raw_Data!O469), Raw_Data!L469*Raw_Data!M469)</f>
        <v>459.9</v>
      </c>
    </row>
    <row r="474" spans="2:6" x14ac:dyDescent="0.35">
      <c r="B474" s="13" t="s">
        <v>281</v>
      </c>
      <c r="C474" s="15" t="str">
        <f t="shared" si="7"/>
        <v>Ayesha Sheikh</v>
      </c>
      <c r="D474" s="17">
        <v>0</v>
      </c>
      <c r="E474" s="15">
        <f>IFERROR(IF(Raw_Data!N470="", 0, IF(Raw_Data!N470&gt;1, Raw_Data!N470/100, Raw_Data!N470)), 0)</f>
        <v>0</v>
      </c>
      <c r="F474" s="15">
        <f>IFERROR(VALUE(Raw_Data!O470), Raw_Data!L470*Raw_Data!M470)</f>
        <v>805.22</v>
      </c>
    </row>
    <row r="475" spans="2:6" x14ac:dyDescent="0.35">
      <c r="B475" s="13" t="s">
        <v>419</v>
      </c>
      <c r="C475" s="15" t="str">
        <f t="shared" si="7"/>
        <v>Nida Butt</v>
      </c>
      <c r="D475" s="17">
        <v>0.3</v>
      </c>
      <c r="E475" s="15">
        <f>IFERROR(IF(Raw_Data!N471="", 0, IF(Raw_Data!N471&gt;1, Raw_Data!N471/100, Raw_Data!N471)), 0)</f>
        <v>0.3</v>
      </c>
      <c r="F475" s="15">
        <f>IFERROR(VALUE(Raw_Data!O471), Raw_Data!L471*Raw_Data!M471)</f>
        <v>3859.2</v>
      </c>
    </row>
    <row r="476" spans="2:6" x14ac:dyDescent="0.35">
      <c r="B476" s="13" t="s">
        <v>141</v>
      </c>
      <c r="C476" s="15" t="str">
        <f t="shared" si="7"/>
        <v>Fatima Ansari</v>
      </c>
      <c r="D476" s="17">
        <v>0.3</v>
      </c>
      <c r="E476" s="15">
        <f>IFERROR(IF(Raw_Data!N472="", 0, IF(Raw_Data!N472&gt;1, Raw_Data!N472/100, Raw_Data!N472)), 0)</f>
        <v>0.3</v>
      </c>
      <c r="F476" s="15">
        <f>IFERROR(VALUE(Raw_Data!O472), Raw_Data!L472*Raw_Data!M472)</f>
        <v>4959.78</v>
      </c>
    </row>
    <row r="477" spans="2:6" x14ac:dyDescent="0.35">
      <c r="B477" s="13" t="s">
        <v>56</v>
      </c>
      <c r="C477" s="15" t="str">
        <f t="shared" si="7"/>
        <v>Zara Qureshi</v>
      </c>
      <c r="D477" s="17">
        <v>0</v>
      </c>
      <c r="E477" s="15">
        <f>IFERROR(IF(Raw_Data!N473="", 0, IF(Raw_Data!N473&gt;1, Raw_Data!N473/100, Raw_Data!N473)), 0)</f>
        <v>0</v>
      </c>
      <c r="F477" s="15">
        <f>IFERROR(VALUE(Raw_Data!O473), Raw_Data!L473*Raw_Data!M473)</f>
        <v>2100.35</v>
      </c>
    </row>
    <row r="478" spans="2:6" x14ac:dyDescent="0.35">
      <c r="B478" s="13" t="s">
        <v>781</v>
      </c>
      <c r="C478" s="15" t="str">
        <f t="shared" si="7"/>
        <v>Tariq Sheikh</v>
      </c>
      <c r="D478" s="17">
        <v>0.3</v>
      </c>
      <c r="E478" s="15">
        <f>IFERROR(IF(Raw_Data!N474="", 0, IF(Raw_Data!N474&gt;1, Raw_Data!N474/100, Raw_Data!N474)), 0)</f>
        <v>0.3</v>
      </c>
      <c r="F478" s="15">
        <f>IFERROR(VALUE(Raw_Data!O474), Raw_Data!L474*Raw_Data!M474)</f>
        <v>676.58</v>
      </c>
    </row>
    <row r="479" spans="2:6" x14ac:dyDescent="0.35">
      <c r="B479" s="13" t="s">
        <v>151</v>
      </c>
      <c r="C479" s="15" t="str">
        <f t="shared" si="7"/>
        <v>Hina Butt</v>
      </c>
      <c r="D479" s="17">
        <v>0.1</v>
      </c>
      <c r="E479" s="15">
        <f>IFERROR(IF(Raw_Data!N475="", 0, IF(Raw_Data!N475&gt;1, Raw_Data!N475/100, Raw_Data!N475)), 0)</f>
        <v>0.1</v>
      </c>
      <c r="F479" s="15">
        <f>IFERROR(VALUE(Raw_Data!O475), Raw_Data!L475*Raw_Data!M475)</f>
        <v>528.96</v>
      </c>
    </row>
    <row r="480" spans="2:6" x14ac:dyDescent="0.35">
      <c r="B480" s="13" t="s">
        <v>784</v>
      </c>
      <c r="C480" s="15" t="str">
        <f t="shared" si="7"/>
        <v>Faisal Chaudhry</v>
      </c>
      <c r="D480" s="17">
        <v>0.3</v>
      </c>
      <c r="E480" s="15">
        <f>IFERROR(IF(Raw_Data!N476="", 0, IF(Raw_Data!N476&gt;1, Raw_Data!N476/100, Raw_Data!N476)), 0)</f>
        <v>0.3</v>
      </c>
      <c r="F480" s="15">
        <f>IFERROR(VALUE(Raw_Data!O476), Raw_Data!L476*Raw_Data!M476)</f>
        <v>3342.3</v>
      </c>
    </row>
    <row r="481" spans="2:6" x14ac:dyDescent="0.35">
      <c r="B481" s="13" t="s">
        <v>455</v>
      </c>
      <c r="C481" s="15" t="str">
        <f t="shared" si="7"/>
        <v>Ali Sheikh</v>
      </c>
      <c r="D481" s="17">
        <v>0</v>
      </c>
      <c r="E481" s="15">
        <f>IFERROR(IF(Raw_Data!N477="", 0, IF(Raw_Data!N477&gt;1, Raw_Data!N477/100, Raw_Data!N477)), 0)</f>
        <v>0</v>
      </c>
      <c r="F481" s="15">
        <f>IFERROR(VALUE(Raw_Data!O477), Raw_Data!L477*Raw_Data!M477)</f>
        <v>2498.4499999999998</v>
      </c>
    </row>
    <row r="482" spans="2:6" x14ac:dyDescent="0.35">
      <c r="B482" s="13" t="s">
        <v>453</v>
      </c>
      <c r="C482" s="15" t="str">
        <f t="shared" si="7"/>
        <v>Adeel Khan</v>
      </c>
      <c r="D482" s="17">
        <v>0</v>
      </c>
      <c r="E482" s="15">
        <f>IFERROR(IF(Raw_Data!N478="", 0, IF(Raw_Data!N478&gt;1, Raw_Data!N478/100, Raw_Data!N478)), 0)</f>
        <v>0</v>
      </c>
      <c r="F482" s="15">
        <f>IFERROR(VALUE(Raw_Data!O478), Raw_Data!L478*Raw_Data!M478)</f>
        <v>3178.16</v>
      </c>
    </row>
    <row r="483" spans="2:6" x14ac:dyDescent="0.35">
      <c r="B483" s="13" t="s">
        <v>98</v>
      </c>
      <c r="C483" s="15" t="str">
        <f t="shared" si="7"/>
        <v>Sana Ansari</v>
      </c>
      <c r="D483" s="17">
        <v>0.1</v>
      </c>
      <c r="E483" s="15">
        <f>IFERROR(IF(Raw_Data!N479="", 0, IF(Raw_Data!N479&gt;1, Raw_Data!N479/100, Raw_Data!N479)), 0)</f>
        <v>0.1</v>
      </c>
      <c r="F483" s="15">
        <f>IFERROR(VALUE(Raw_Data!O479), Raw_Data!L479*Raw_Data!M479)</f>
        <v>3559.08</v>
      </c>
    </row>
    <row r="484" spans="2:6" x14ac:dyDescent="0.35">
      <c r="B484" s="13" t="s">
        <v>131</v>
      </c>
      <c r="C484" s="15" t="str">
        <f t="shared" si="7"/>
        <v>Ahmed Iqbal</v>
      </c>
      <c r="D484" s="17">
        <v>0.1</v>
      </c>
      <c r="E484" s="15">
        <f>IFERROR(IF(Raw_Data!N480="", 0, IF(Raw_Data!N480&gt;1, Raw_Data!N480/100, Raw_Data!N480)), 0)</f>
        <v>0.1</v>
      </c>
      <c r="F484" s="15">
        <f>IFERROR(VALUE(Raw_Data!O480), Raw_Data!L480*Raw_Data!M480)</f>
        <v>4549.4399999999996</v>
      </c>
    </row>
    <row r="485" spans="2:6" x14ac:dyDescent="0.35">
      <c r="B485" s="13" t="s">
        <v>210</v>
      </c>
      <c r="C485" s="15" t="str">
        <f t="shared" si="7"/>
        <v>Imran Butt</v>
      </c>
      <c r="D485" s="17">
        <v>0.2</v>
      </c>
      <c r="E485" s="15">
        <f>IFERROR(IF(Raw_Data!N481="", 0, IF(Raw_Data!N481&gt;1, Raw_Data!N481/100, Raw_Data!N481)), 0)</f>
        <v>0.2</v>
      </c>
      <c r="F485" s="15">
        <f>IFERROR(VALUE(Raw_Data!O481), Raw_Data!L481*Raw_Data!M481)</f>
        <v>6916.23</v>
      </c>
    </row>
    <row r="486" spans="2:6" x14ac:dyDescent="0.35">
      <c r="B486" s="13" t="s">
        <v>143</v>
      </c>
      <c r="C486" s="15" t="str">
        <f t="shared" si="7"/>
        <v>Zara Sheikh</v>
      </c>
      <c r="D486" s="17">
        <v>0</v>
      </c>
      <c r="E486" s="15">
        <f>IFERROR(IF(Raw_Data!N482="", 0, IF(Raw_Data!N482&gt;1, Raw_Data!N482/100, Raw_Data!N482)), 0)</f>
        <v>0</v>
      </c>
      <c r="F486" s="15">
        <f>IFERROR(VALUE(Raw_Data!O482), Raw_Data!L482*Raw_Data!M482)</f>
        <v>3526.56</v>
      </c>
    </row>
    <row r="487" spans="2:6" x14ac:dyDescent="0.35">
      <c r="B487" s="13" t="s">
        <v>169</v>
      </c>
      <c r="C487" s="15" t="str">
        <f t="shared" si="7"/>
        <v>Kamran Ansari</v>
      </c>
      <c r="D487" s="17">
        <v>0</v>
      </c>
      <c r="E487" s="15">
        <f>IFERROR(IF(Raw_Data!N483="", 0, IF(Raw_Data!N483&gt;1, Raw_Data!N483/100, Raw_Data!N483)), 0)</f>
        <v>0</v>
      </c>
      <c r="F487" s="15">
        <f>IFERROR(VALUE(Raw_Data!O483), Raw_Data!L483*Raw_Data!M483)</f>
        <v>3941.73</v>
      </c>
    </row>
    <row r="488" spans="2:6" x14ac:dyDescent="0.35">
      <c r="B488" s="13" t="s">
        <v>567</v>
      </c>
      <c r="C488" s="15" t="str">
        <f t="shared" si="7"/>
        <v>Mahnoor Chaudhry</v>
      </c>
      <c r="D488" s="17">
        <v>0.15</v>
      </c>
      <c r="E488" s="15">
        <f>IFERROR(IF(Raw_Data!N484="", 0, IF(Raw_Data!N484&gt;1, Raw_Data!N484/100, Raw_Data!N484)), 0)</f>
        <v>0.15</v>
      </c>
      <c r="F488" s="15">
        <f>IFERROR(VALUE(Raw_Data!O484), Raw_Data!L484*Raw_Data!M484)</f>
        <v>568.22</v>
      </c>
    </row>
    <row r="489" spans="2:6" x14ac:dyDescent="0.35">
      <c r="B489" s="13" t="s">
        <v>295</v>
      </c>
      <c r="C489" s="15" t="str">
        <f t="shared" si="7"/>
        <v>Rabia Butt</v>
      </c>
      <c r="D489" s="17">
        <v>0</v>
      </c>
      <c r="E489" s="15">
        <f>IFERROR(IF(Raw_Data!N485="", 0, IF(Raw_Data!N485&gt;1, Raw_Data!N485/100, Raw_Data!N485)), 0)</f>
        <v>0</v>
      </c>
      <c r="F489" s="15">
        <f>IFERROR(VALUE(Raw_Data!O485), Raw_Data!L485*Raw_Data!M485)</f>
        <v>54.4</v>
      </c>
    </row>
    <row r="490" spans="2:6" x14ac:dyDescent="0.35">
      <c r="B490" s="13">
        <v>0</v>
      </c>
      <c r="C490" s="15" t="str">
        <f t="shared" si="7"/>
        <v>Unknown Customer</v>
      </c>
      <c r="D490" s="17">
        <v>0</v>
      </c>
      <c r="E490" s="15">
        <f>IFERROR(IF(Raw_Data!N486="", 0, IF(Raw_Data!N486&gt;1, Raw_Data!N486/100, Raw_Data!N486)), 0)</f>
        <v>0</v>
      </c>
      <c r="F490" s="15">
        <f>IFERROR(VALUE(Raw_Data!O486), Raw_Data!L486*Raw_Data!M486)</f>
        <v>5289.6</v>
      </c>
    </row>
    <row r="491" spans="2:6" x14ac:dyDescent="0.35">
      <c r="B491" s="13" t="s">
        <v>505</v>
      </c>
      <c r="C491" s="15" t="str">
        <f t="shared" si="7"/>
        <v>Imran Iqbal</v>
      </c>
      <c r="D491" s="17">
        <v>0</v>
      </c>
      <c r="E491" s="15">
        <f>IFERROR(IF(Raw_Data!N487="", 0, IF(Raw_Data!N487&gt;1, Raw_Data!N487/100, Raw_Data!N487)), 0)</f>
        <v>0</v>
      </c>
      <c r="F491" s="15">
        <f>IFERROR(VALUE(Raw_Data!O487), Raw_Data!L487*Raw_Data!M487)</f>
        <v>158.38</v>
      </c>
    </row>
    <row r="492" spans="2:6" x14ac:dyDescent="0.35">
      <c r="B492" s="13" t="s">
        <v>237</v>
      </c>
      <c r="C492" s="15" t="str">
        <f t="shared" si="7"/>
        <v>Hina Farooq</v>
      </c>
      <c r="D492" s="17">
        <v>0.3</v>
      </c>
      <c r="E492" s="15">
        <f>IFERROR(IF(Raw_Data!N488="", 0, IF(Raw_Data!N488&gt;1, Raw_Data!N488/100, Raw_Data!N488)), 0)</f>
        <v>0.3</v>
      </c>
      <c r="F492" s="15">
        <f>IFERROR(VALUE(Raw_Data!O488), Raw_Data!L488*Raw_Data!M488)</f>
        <v>3228.8</v>
      </c>
    </row>
    <row r="493" spans="2:6" x14ac:dyDescent="0.35">
      <c r="B493" s="13" t="s">
        <v>176</v>
      </c>
      <c r="C493" s="15" t="str">
        <f t="shared" si="7"/>
        <v>Omar Butt</v>
      </c>
      <c r="D493" s="17">
        <v>0</v>
      </c>
      <c r="E493" s="15">
        <f>IFERROR(IF(Raw_Data!N489="", 0, IF(Raw_Data!N489&gt;1, Raw_Data!N489/100, Raw_Data!N489)), 0)</f>
        <v>0</v>
      </c>
      <c r="F493" s="15">
        <f>IFERROR(VALUE(Raw_Data!O489), Raw_Data!L489*Raw_Data!M489)</f>
        <v>1039.8499999999999</v>
      </c>
    </row>
    <row r="494" spans="2:6" x14ac:dyDescent="0.35">
      <c r="B494" s="13" t="s">
        <v>562</v>
      </c>
      <c r="C494" s="15" t="str">
        <f t="shared" si="7"/>
        <v>Faisal Iqbal</v>
      </c>
      <c r="D494" s="17">
        <v>0</v>
      </c>
      <c r="E494" s="15">
        <f>IFERROR(IF(Raw_Data!N490="", 0, IF(Raw_Data!N490&gt;1, Raw_Data!N490/100, Raw_Data!N490)), 0)</f>
        <v>0</v>
      </c>
      <c r="F494" s="15">
        <f>IFERROR(VALUE(Raw_Data!O490), Raw_Data!L490*Raw_Data!M490)</f>
        <v>3584.56</v>
      </c>
    </row>
    <row r="495" spans="2:6" x14ac:dyDescent="0.35">
      <c r="B495" s="13" t="s">
        <v>478</v>
      </c>
      <c r="C495" s="15" t="str">
        <f t="shared" si="7"/>
        <v>Adeel Sheikh</v>
      </c>
      <c r="D495" s="17">
        <v>0.1</v>
      </c>
      <c r="E495" s="15">
        <f>IFERROR(IF(Raw_Data!N491="", 0, IF(Raw_Data!N491&gt;1, Raw_Data!N491/100, Raw_Data!N491)), 0)</f>
        <v>0.1</v>
      </c>
      <c r="F495" s="15">
        <f>IFERROR(VALUE(Raw_Data!O491), Raw_Data!L491*Raw_Data!M491)</f>
        <v>3106.92</v>
      </c>
    </row>
    <row r="496" spans="2:6" x14ac:dyDescent="0.35">
      <c r="B496" s="13" t="s">
        <v>221</v>
      </c>
      <c r="C496" s="15" t="str">
        <f t="shared" si="7"/>
        <v>Bilal Chaudhry</v>
      </c>
      <c r="D496" s="17">
        <v>0</v>
      </c>
      <c r="E496" s="15">
        <f>IFERROR(IF(Raw_Data!N492="", 0, IF(Raw_Data!N492&gt;1, Raw_Data!N492/100, Raw_Data!N492)), 0)</f>
        <v>0</v>
      </c>
      <c r="F496" s="15">
        <f>IFERROR(VALUE(Raw_Data!O492), Raw_Data!L492*Raw_Data!M492)</f>
        <v>7242</v>
      </c>
    </row>
    <row r="497" spans="2:6" x14ac:dyDescent="0.35">
      <c r="B497" s="13" t="s">
        <v>803</v>
      </c>
      <c r="C497" s="15" t="str">
        <f t="shared" si="7"/>
        <v>Omar Farooq</v>
      </c>
      <c r="D497" s="17">
        <v>0</v>
      </c>
      <c r="E497" s="15">
        <f>IFERROR(IF(Raw_Data!N493="", 0, IF(Raw_Data!N493&gt;1, Raw_Data!N493/100, Raw_Data!N493)), 0)</f>
        <v>0</v>
      </c>
      <c r="F497" s="15">
        <f>IFERROR(VALUE(Raw_Data!O493), Raw_Data!L493*Raw_Data!M493)</f>
        <v>7377.12</v>
      </c>
    </row>
    <row r="498" spans="2:6" x14ac:dyDescent="0.35">
      <c r="B498" s="13" t="s">
        <v>805</v>
      </c>
      <c r="C498" s="15" t="str">
        <f t="shared" si="7"/>
        <v>Sara Qureshi</v>
      </c>
      <c r="D498" s="17">
        <v>0.2</v>
      </c>
      <c r="E498" s="15">
        <f>IFERROR(IF(Raw_Data!N494="", 0, IF(Raw_Data!N494&gt;1, Raw_Data!N494/100, Raw_Data!N494)), 0)</f>
        <v>0.2</v>
      </c>
      <c r="F498" s="15">
        <f>IFERROR(VALUE(Raw_Data!O494), Raw_Data!L494*Raw_Data!M494)</f>
        <v>3440.2</v>
      </c>
    </row>
    <row r="499" spans="2:6" x14ac:dyDescent="0.35">
      <c r="B499" s="13" t="s">
        <v>807</v>
      </c>
      <c r="C499" s="15" t="str">
        <f t="shared" si="7"/>
        <v>Bilal Farooq</v>
      </c>
      <c r="D499" s="17">
        <v>0.1</v>
      </c>
      <c r="E499" s="15">
        <f>IFERROR(IF(Raw_Data!N495="", 0, IF(Raw_Data!N495&gt;1, Raw_Data!N495/100, Raw_Data!N495)), 0)</f>
        <v>0.1</v>
      </c>
      <c r="F499" s="15">
        <f>IFERROR(VALUE(Raw_Data!O495), Raw_Data!L495*Raw_Data!M495)</f>
        <v>897.78</v>
      </c>
    </row>
    <row r="500" spans="2:6" x14ac:dyDescent="0.35">
      <c r="B500" s="13" t="s">
        <v>570</v>
      </c>
      <c r="C500" s="15" t="str">
        <f t="shared" si="7"/>
        <v>Tariq Raza</v>
      </c>
      <c r="D500" s="17">
        <v>0</v>
      </c>
      <c r="E500" s="15">
        <f>IFERROR(IF(Raw_Data!N496="", 0, IF(Raw_Data!N496&gt;1, Raw_Data!N496/100, Raw_Data!N496)), 0)</f>
        <v>0</v>
      </c>
      <c r="F500" s="15">
        <f>IFERROR(VALUE(Raw_Data!O496), Raw_Data!L496*Raw_Data!M496)</f>
        <v>908.04</v>
      </c>
    </row>
    <row r="501" spans="2:6" x14ac:dyDescent="0.35">
      <c r="B501" s="13" t="s">
        <v>383</v>
      </c>
      <c r="C501" s="15" t="str">
        <f t="shared" si="7"/>
        <v>Omar Ansari</v>
      </c>
      <c r="D501" s="17">
        <v>0</v>
      </c>
      <c r="E501" s="15">
        <f>IFERROR(IF(Raw_Data!N497="", 0, IF(Raw_Data!N497&gt;1, Raw_Data!N497/100, Raw_Data!N497)), 0)</f>
        <v>0</v>
      </c>
      <c r="F501" s="15">
        <f>IFERROR(VALUE(Raw_Data!O497), Raw_Data!L497*Raw_Data!M497)</f>
        <v>2015.37</v>
      </c>
    </row>
    <row r="502" spans="2:6" x14ac:dyDescent="0.35">
      <c r="B502" s="13" t="s">
        <v>492</v>
      </c>
      <c r="C502" s="15" t="str">
        <f t="shared" si="7"/>
        <v>Sara Sheikh</v>
      </c>
      <c r="D502" s="17">
        <v>0.1</v>
      </c>
      <c r="E502" s="15">
        <f>IFERROR(IF(Raw_Data!N498="", 0, IF(Raw_Data!N498&gt;1, Raw_Data!N498/100, Raw_Data!N498)), 0)</f>
        <v>0.1</v>
      </c>
      <c r="F502" s="15">
        <f>IFERROR(VALUE(Raw_Data!O498), Raw_Data!L498*Raw_Data!M498)</f>
        <v>1106.22</v>
      </c>
    </row>
    <row r="503" spans="2:6" x14ac:dyDescent="0.35">
      <c r="B503" s="13" t="s">
        <v>567</v>
      </c>
      <c r="C503" s="15" t="str">
        <f t="shared" si="7"/>
        <v>Mahnoor Chaudhry</v>
      </c>
      <c r="D503" s="17">
        <v>0</v>
      </c>
      <c r="E503" s="15">
        <f>IFERROR(IF(Raw_Data!N499="", 0, IF(Raw_Data!N499&gt;1, Raw_Data!N499/100, Raw_Data!N499)), 0)</f>
        <v>0</v>
      </c>
      <c r="F503" s="15">
        <f>IFERROR(VALUE(Raw_Data!O499), Raw_Data!L499*Raw_Data!M499)</f>
        <v>22.04</v>
      </c>
    </row>
    <row r="504" spans="2:6" x14ac:dyDescent="0.35">
      <c r="B504" s="13" t="s">
        <v>26</v>
      </c>
      <c r="C504" s="15" t="str">
        <f t="shared" si="7"/>
        <v>Fatima Raza</v>
      </c>
      <c r="D504" s="17">
        <v>0.1</v>
      </c>
      <c r="E504" s="15">
        <f>IFERROR(IF(Raw_Data!N500="", 0, IF(Raw_Data!N500&gt;1, Raw_Data!N500/100, Raw_Data!N500)), 0)</f>
        <v>0.1</v>
      </c>
      <c r="F504" s="15">
        <f>IFERROR(VALUE(Raw_Data!O500), Raw_Data!L500*Raw_Data!M500)</f>
        <v>833.47</v>
      </c>
    </row>
    <row r="505" spans="2:6" x14ac:dyDescent="0.35">
      <c r="B505" s="13" t="s">
        <v>26</v>
      </c>
      <c r="C505" s="15" t="str">
        <f t="shared" si="7"/>
        <v>Fatima Raza</v>
      </c>
      <c r="D505" s="17">
        <v>0.3</v>
      </c>
      <c r="E505" s="15">
        <f>IFERROR(IF(Raw_Data!N501="", 0, IF(Raw_Data!N501&gt;1, Raw_Data!N501/100, Raw_Data!N501)), 0)</f>
        <v>0.3</v>
      </c>
      <c r="F505" s="15">
        <f>IFERROR(VALUE(Raw_Data!O501), Raw_Data!L501*Raw_Data!M501)</f>
        <v>2853.2</v>
      </c>
    </row>
    <row r="506" spans="2:6" x14ac:dyDescent="0.35">
      <c r="B506" s="13" t="s">
        <v>295</v>
      </c>
      <c r="C506" s="15" t="str">
        <f t="shared" si="7"/>
        <v>Rabia Butt</v>
      </c>
      <c r="D506" s="17">
        <v>0</v>
      </c>
      <c r="E506" s="15">
        <f>IFERROR(IF(Raw_Data!N502="", 0, IF(Raw_Data!N502&gt;1, Raw_Data!N502/100, Raw_Data!N502)), 0)</f>
        <v>0</v>
      </c>
      <c r="F506" s="15">
        <f>IFERROR(VALUE(Raw_Data!O502), Raw_Data!L502*Raw_Data!M502)</f>
        <v>2096.5500000000002</v>
      </c>
    </row>
    <row r="507" spans="2:6" x14ac:dyDescent="0.35">
      <c r="B507" s="13" t="s">
        <v>463</v>
      </c>
      <c r="C507" s="15" t="str">
        <f t="shared" si="7"/>
        <v>Tariq Iqbal</v>
      </c>
      <c r="D507" s="17">
        <v>0</v>
      </c>
      <c r="E507" s="15">
        <f>IFERROR(IF(Raw_Data!N503="", 0, IF(Raw_Data!N503&gt;1, Raw_Data!N503/100, Raw_Data!N503)), 0)</f>
        <v>0</v>
      </c>
      <c r="F507" s="15">
        <f>IFERROR(VALUE(Raw_Data!O503), Raw_Data!L503*Raw_Data!M503)</f>
        <v>820.32</v>
      </c>
    </row>
    <row r="508" spans="2:6" x14ac:dyDescent="0.35">
      <c r="B508" s="13" t="s">
        <v>281</v>
      </c>
      <c r="C508" s="15" t="str">
        <f t="shared" si="7"/>
        <v>Ayesha Sheikh</v>
      </c>
      <c r="D508" s="17">
        <v>0.15</v>
      </c>
      <c r="E508" s="15">
        <f>IFERROR(IF(Raw_Data!N504="", 0, IF(Raw_Data!N504&gt;1, Raw_Data!N504/100, Raw_Data!N504)), 0)</f>
        <v>0.15</v>
      </c>
      <c r="F508" s="15">
        <f>IFERROR(VALUE(Raw_Data!O504), Raw_Data!L504*Raw_Data!M504)</f>
        <v>7070.88</v>
      </c>
    </row>
    <row r="509" spans="2:6" x14ac:dyDescent="0.35">
      <c r="B509" s="13" t="s">
        <v>651</v>
      </c>
      <c r="C509" s="15" t="str">
        <f t="shared" si="7"/>
        <v>Usman Raza</v>
      </c>
      <c r="D509" s="17">
        <v>0.2</v>
      </c>
      <c r="E509" s="15">
        <f>IFERROR(IF(Raw_Data!N505="", 0, IF(Raw_Data!N505&gt;1, Raw_Data!N505/100, Raw_Data!N505)), 0)</f>
        <v>0.2</v>
      </c>
      <c r="F509" s="15">
        <f>IFERROR(VALUE(Raw_Data!O505), Raw_Data!L505*Raw_Data!M505)</f>
        <v>826.59</v>
      </c>
    </row>
    <row r="510" spans="2:6" x14ac:dyDescent="0.35">
      <c r="B510" s="13" t="s">
        <v>340</v>
      </c>
      <c r="C510" s="15" t="str">
        <f t="shared" si="7"/>
        <v>Rabia Qureshi</v>
      </c>
      <c r="D510" s="17">
        <v>0</v>
      </c>
      <c r="E510" s="15">
        <f>IFERROR(IF(Raw_Data!N506="", 0, IF(Raw_Data!N506&gt;1, Raw_Data!N506/100, Raw_Data!N506)), 0)</f>
        <v>0</v>
      </c>
      <c r="F510" s="15">
        <f>IFERROR(VALUE(Raw_Data!O506), Raw_Data!L506*Raw_Data!M506)</f>
        <v>551.24</v>
      </c>
    </row>
    <row r="511" spans="2:6" x14ac:dyDescent="0.35">
      <c r="B511" s="13" t="s">
        <v>373</v>
      </c>
      <c r="C511" s="15" t="str">
        <f t="shared" si="7"/>
        <v>Kamran Raza</v>
      </c>
      <c r="D511" s="17">
        <v>0.3</v>
      </c>
      <c r="E511" s="15">
        <f>IFERROR(IF(Raw_Data!N507="", 0, IF(Raw_Data!N507&gt;1, Raw_Data!N507/100, Raw_Data!N507)), 0)</f>
        <v>0.3</v>
      </c>
      <c r="F511" s="15">
        <f>IFERROR(VALUE(Raw_Data!O507), Raw_Data!L507*Raw_Data!M507)</f>
        <v>4535.55</v>
      </c>
    </row>
    <row r="512" spans="2:6" x14ac:dyDescent="0.35">
      <c r="B512" s="13" t="s">
        <v>386</v>
      </c>
      <c r="C512" s="15" t="str">
        <f t="shared" si="7"/>
        <v>Tariq Farooq</v>
      </c>
      <c r="D512" s="17">
        <v>0.15</v>
      </c>
      <c r="E512" s="15">
        <f>IFERROR(IF(Raw_Data!N508="", 0, IF(Raw_Data!N508&gt;1, Raw_Data!N508/100, Raw_Data!N508)), 0)</f>
        <v>0.15</v>
      </c>
      <c r="F512" s="15">
        <f>IFERROR(VALUE(Raw_Data!O508), Raw_Data!L508*Raw_Data!M508)</f>
        <v>374.57</v>
      </c>
    </row>
    <row r="513" spans="2:6" x14ac:dyDescent="0.35">
      <c r="B513" s="13" t="s">
        <v>225</v>
      </c>
      <c r="C513" s="15" t="str">
        <f t="shared" si="7"/>
        <v>Rabia Chaudhry</v>
      </c>
      <c r="D513" s="17">
        <v>0.15</v>
      </c>
      <c r="E513" s="15">
        <f>IFERROR(IF(Raw_Data!N509="", 0, IF(Raw_Data!N509&gt;1, Raw_Data!N509/100, Raw_Data!N509)), 0)</f>
        <v>0.15</v>
      </c>
      <c r="F513" s="15">
        <f>IFERROR(VALUE(Raw_Data!O509), Raw_Data!L509*Raw_Data!M509)</f>
        <v>761.46</v>
      </c>
    </row>
    <row r="514" spans="2:6" x14ac:dyDescent="0.35">
      <c r="B514" s="13" t="s">
        <v>169</v>
      </c>
      <c r="C514" s="15" t="str">
        <f t="shared" si="7"/>
        <v>Kamran Ansari</v>
      </c>
      <c r="D514" s="17">
        <v>0</v>
      </c>
      <c r="E514" s="15">
        <f>IFERROR(IF(Raw_Data!N510="", 0, IF(Raw_Data!N510&gt;1, Raw_Data!N510/100, Raw_Data!N510)), 0)</f>
        <v>0</v>
      </c>
      <c r="F514" s="15">
        <f>IFERROR(VALUE(Raw_Data!O510), Raw_Data!L510*Raw_Data!M510)</f>
        <v>4398.54</v>
      </c>
    </row>
    <row r="515" spans="2:6" x14ac:dyDescent="0.35">
      <c r="B515" s="13" t="s">
        <v>784</v>
      </c>
      <c r="C515" s="15" t="str">
        <f t="shared" si="7"/>
        <v>Faisal Chaudhry</v>
      </c>
      <c r="D515" s="17">
        <v>0</v>
      </c>
      <c r="E515" s="15">
        <f>IFERROR(IF(Raw_Data!N511="", 0, IF(Raw_Data!N511&gt;1, Raw_Data!N511/100, Raw_Data!N511)), 0)</f>
        <v>0</v>
      </c>
      <c r="F515" s="15">
        <f>IFERROR(VALUE(Raw_Data!O511), Raw_Data!L511*Raw_Data!M511)</f>
        <v>2119.4</v>
      </c>
    </row>
    <row r="516" spans="2:6" x14ac:dyDescent="0.35">
      <c r="B516" s="13" t="s">
        <v>368</v>
      </c>
      <c r="C516" s="15" t="str">
        <f t="shared" si="7"/>
        <v>Hassan Khan</v>
      </c>
      <c r="D516" s="17">
        <v>0.15</v>
      </c>
      <c r="E516" s="15">
        <f>IFERROR(IF(Raw_Data!N512="", 0, IF(Raw_Data!N512&gt;1, Raw_Data!N512/100, Raw_Data!N512)), 0)</f>
        <v>0.15</v>
      </c>
      <c r="F516" s="15">
        <f>IFERROR(VALUE(Raw_Data!O512), Raw_Data!L512*Raw_Data!M512)</f>
        <v>674.75</v>
      </c>
    </row>
    <row r="517" spans="2:6" x14ac:dyDescent="0.35">
      <c r="B517" s="13" t="s">
        <v>737</v>
      </c>
      <c r="C517" s="15" t="str">
        <f t="shared" si="7"/>
        <v>Hassan Ansari</v>
      </c>
      <c r="D517" s="17">
        <v>0.15</v>
      </c>
      <c r="E517" s="15">
        <f>IFERROR(IF(Raw_Data!N513="", 0, IF(Raw_Data!N513&gt;1, Raw_Data!N513/100, Raw_Data!N513)), 0)</f>
        <v>0.15</v>
      </c>
      <c r="F517" s="15">
        <f>IFERROR(VALUE(Raw_Data!O513), Raw_Data!L513*Raw_Data!M513)</f>
        <v>3789.94</v>
      </c>
    </row>
    <row r="518" spans="2:6" x14ac:dyDescent="0.35">
      <c r="B518" s="13" t="s">
        <v>122</v>
      </c>
      <c r="C518" s="15" t="str">
        <f t="shared" si="7"/>
        <v>Hina Malik</v>
      </c>
      <c r="D518" s="17">
        <v>0.3</v>
      </c>
      <c r="E518" s="15">
        <f>IFERROR(IF(Raw_Data!N514="", 0, IF(Raw_Data!N514&gt;1, Raw_Data!N514/100, Raw_Data!N514)), 0)</f>
        <v>0.3</v>
      </c>
      <c r="F518" s="15">
        <f>IFERROR(VALUE(Raw_Data!O514), Raw_Data!L514*Raw_Data!M514)</f>
        <v>181.47</v>
      </c>
    </row>
    <row r="519" spans="2:6" x14ac:dyDescent="0.35">
      <c r="B519" s="13" t="s">
        <v>137</v>
      </c>
      <c r="C519" s="15" t="str">
        <f t="shared" ref="C519:C582" si="8">IF(OR(B519="",B519=0), "Unknown Customer", PROPER(TRIM(B519)))</f>
        <v>Ayesha Farooq</v>
      </c>
      <c r="D519" s="17">
        <v>0</v>
      </c>
      <c r="E519" s="15">
        <f>IFERROR(IF(Raw_Data!N515="", 0, IF(Raw_Data!N515&gt;1, Raw_Data!N515/100, Raw_Data!N515)), 0)</f>
        <v>0</v>
      </c>
      <c r="F519" s="15">
        <f>IFERROR(VALUE(Raw_Data!O515), Raw_Data!L515*Raw_Data!M515)</f>
        <v>1208.28</v>
      </c>
    </row>
    <row r="520" spans="2:6" x14ac:dyDescent="0.35">
      <c r="B520" s="13" t="s">
        <v>276</v>
      </c>
      <c r="C520" s="15" t="str">
        <f t="shared" si="8"/>
        <v>Faisal Malik</v>
      </c>
      <c r="D520" s="17">
        <v>0</v>
      </c>
      <c r="E520" s="15">
        <f>IFERROR(IF(Raw_Data!N516="", 0, IF(Raw_Data!N516&gt;1, Raw_Data!N516/100, Raw_Data!N516)), 0)</f>
        <v>0</v>
      </c>
      <c r="F520" s="15">
        <f>IFERROR(VALUE(Raw_Data!O516), Raw_Data!L516*Raw_Data!M516)</f>
        <v>4033.36</v>
      </c>
    </row>
    <row r="521" spans="2:6" x14ac:dyDescent="0.35">
      <c r="B521" s="13" t="s">
        <v>383</v>
      </c>
      <c r="C521" s="15" t="str">
        <f t="shared" si="8"/>
        <v>Omar Ansari</v>
      </c>
      <c r="D521" s="17">
        <v>0.3</v>
      </c>
      <c r="E521" s="15">
        <f>IFERROR(IF(Raw_Data!N517="", 0, IF(Raw_Data!N517&gt;1, Raw_Data!N517/100, Raw_Data!N517)), 0)</f>
        <v>0.3</v>
      </c>
      <c r="F521" s="15">
        <f>IFERROR(VALUE(Raw_Data!O517), Raw_Data!L517*Raw_Data!M517)</f>
        <v>1386</v>
      </c>
    </row>
    <row r="522" spans="2:6" x14ac:dyDescent="0.35">
      <c r="B522" s="13" t="s">
        <v>131</v>
      </c>
      <c r="C522" s="15" t="str">
        <f t="shared" si="8"/>
        <v>Ahmed Iqbal</v>
      </c>
      <c r="D522" s="17">
        <v>0.1</v>
      </c>
      <c r="E522" s="15">
        <f>IFERROR(IF(Raw_Data!N518="", 0, IF(Raw_Data!N518&gt;1, Raw_Data!N518/100, Raw_Data!N518)), 0)</f>
        <v>0.1</v>
      </c>
      <c r="F522" s="15">
        <f>IFERROR(VALUE(Raw_Data!O518), Raw_Data!L518*Raw_Data!M518)</f>
        <v>7575.8</v>
      </c>
    </row>
    <row r="523" spans="2:6" x14ac:dyDescent="0.35">
      <c r="B523" s="13" t="s">
        <v>139</v>
      </c>
      <c r="C523" s="15" t="str">
        <f t="shared" si="8"/>
        <v>Tariq Malik</v>
      </c>
      <c r="D523" s="17">
        <v>0.15</v>
      </c>
      <c r="E523" s="15">
        <f>IFERROR(IF(Raw_Data!N519="", 0, IF(Raw_Data!N519&gt;1, Raw_Data!N519/100, Raw_Data!N519)), 0)</f>
        <v>0.15</v>
      </c>
      <c r="F523" s="15">
        <f>IFERROR(VALUE(Raw_Data!O519), Raw_Data!L519*Raw_Data!M519)</f>
        <v>335.73</v>
      </c>
    </row>
    <row r="524" spans="2:6" x14ac:dyDescent="0.35">
      <c r="B524" s="13" t="s">
        <v>360</v>
      </c>
      <c r="C524" s="15" t="str">
        <f t="shared" si="8"/>
        <v>Ali Iqbal</v>
      </c>
      <c r="D524" s="17">
        <v>0</v>
      </c>
      <c r="E524" s="15">
        <f>IFERROR(IF(Raw_Data!N520="", 0, IF(Raw_Data!N520&gt;1, Raw_Data!N520/100, Raw_Data!N520)), 0)</f>
        <v>0</v>
      </c>
      <c r="F524" s="15">
        <f>IFERROR(VALUE(Raw_Data!O520), Raw_Data!L520*Raw_Data!M520)</f>
        <v>4643.9399999999996</v>
      </c>
    </row>
    <row r="525" spans="2:6" x14ac:dyDescent="0.35">
      <c r="B525" s="13" t="s">
        <v>637</v>
      </c>
      <c r="C525" s="15" t="str">
        <f t="shared" si="8"/>
        <v>Ayesha Iqbal</v>
      </c>
      <c r="D525" s="17">
        <v>0</v>
      </c>
      <c r="E525" s="15">
        <f>IFERROR(IF(Raw_Data!N521="", 0, IF(Raw_Data!N521&gt;1, Raw_Data!N521/100, Raw_Data!N521)), 0)</f>
        <v>0</v>
      </c>
      <c r="F525" s="15">
        <f>IFERROR(VALUE(Raw_Data!O521), Raw_Data!L521*Raw_Data!M521)</f>
        <v>2528.94</v>
      </c>
    </row>
    <row r="526" spans="2:6" x14ac:dyDescent="0.35">
      <c r="B526" s="13" t="s">
        <v>301</v>
      </c>
      <c r="C526" s="15" t="str">
        <f t="shared" si="8"/>
        <v>Sara Malik</v>
      </c>
      <c r="D526" s="17">
        <v>0</v>
      </c>
      <c r="E526" s="15">
        <f>IFERROR(IF(Raw_Data!N522="", 0, IF(Raw_Data!N522&gt;1, Raw_Data!N522/100, Raw_Data!N522)), 0)</f>
        <v>0</v>
      </c>
      <c r="F526" s="15">
        <f>IFERROR(VALUE(Raw_Data!O522), Raw_Data!L522*Raw_Data!M522)</f>
        <v>2637.96</v>
      </c>
    </row>
    <row r="527" spans="2:6" x14ac:dyDescent="0.35">
      <c r="B527" s="13" t="s">
        <v>834</v>
      </c>
      <c r="C527" s="15" t="str">
        <f t="shared" si="8"/>
        <v>Ahmed Raza</v>
      </c>
      <c r="D527" s="17">
        <v>0</v>
      </c>
      <c r="E527" s="15">
        <f>IFERROR(IF(Raw_Data!N523="", 0, IF(Raw_Data!N523&gt;1, Raw_Data!N523/100, Raw_Data!N523)), 0)</f>
        <v>0</v>
      </c>
      <c r="F527" s="15">
        <f>IFERROR(VALUE(Raw_Data!O523), Raw_Data!L523*Raw_Data!M523)</f>
        <v>2128.08</v>
      </c>
    </row>
    <row r="528" spans="2:6" x14ac:dyDescent="0.35">
      <c r="B528" s="13" t="s">
        <v>486</v>
      </c>
      <c r="C528" s="15" t="str">
        <f t="shared" si="8"/>
        <v>Faisal Khan</v>
      </c>
      <c r="D528" s="17">
        <v>0.2</v>
      </c>
      <c r="E528" s="15">
        <f>IFERROR(IF(Raw_Data!N524="", 0, IF(Raw_Data!N524&gt;1, Raw_Data!N524/100, Raw_Data!N524)), 0)</f>
        <v>0.2</v>
      </c>
      <c r="F528" s="15">
        <f>IFERROR(VALUE(Raw_Data!O524), Raw_Data!L524*Raw_Data!M524)</f>
        <v>4774.8</v>
      </c>
    </row>
    <row r="529" spans="2:6" x14ac:dyDescent="0.35">
      <c r="B529" s="13" t="s">
        <v>570</v>
      </c>
      <c r="C529" s="15" t="str">
        <f t="shared" si="8"/>
        <v>Tariq Raza</v>
      </c>
      <c r="D529" s="17">
        <v>0</v>
      </c>
      <c r="E529" s="15">
        <f>IFERROR(IF(Raw_Data!N525="", 0, IF(Raw_Data!N525&gt;1, Raw_Data!N525/100, Raw_Data!N525)), 0)</f>
        <v>0</v>
      </c>
      <c r="F529" s="15">
        <f>IFERROR(VALUE(Raw_Data!O525), Raw_Data!L525*Raw_Data!M525)</f>
        <v>8320.6200000000008</v>
      </c>
    </row>
    <row r="530" spans="2:6" x14ac:dyDescent="0.35">
      <c r="B530" s="13" t="s">
        <v>267</v>
      </c>
      <c r="C530" s="15" t="str">
        <f t="shared" si="8"/>
        <v>Nida Chaudhry</v>
      </c>
      <c r="D530" s="17">
        <v>0</v>
      </c>
      <c r="E530" s="15">
        <f>IFERROR(IF(Raw_Data!N526="", 0, IF(Raw_Data!N526&gt;1, Raw_Data!N526/100, Raw_Data!N526)), 0)</f>
        <v>0</v>
      </c>
      <c r="F530" s="15">
        <f>IFERROR(VALUE(Raw_Data!O526), Raw_Data!L526*Raw_Data!M526)</f>
        <v>6485.71</v>
      </c>
    </row>
    <row r="531" spans="2:6" x14ac:dyDescent="0.35">
      <c r="B531" s="13" t="s">
        <v>839</v>
      </c>
      <c r="C531" s="15" t="str">
        <f t="shared" si="8"/>
        <v>Mahnoor Qureshi</v>
      </c>
      <c r="D531" s="17">
        <v>0.1</v>
      </c>
      <c r="E531" s="15">
        <f>IFERROR(IF(Raw_Data!N527="", 0, IF(Raw_Data!N527&gt;1, Raw_Data!N527/100, Raw_Data!N527)), 0)</f>
        <v>0.1</v>
      </c>
      <c r="F531" s="15">
        <f>IFERROR(VALUE(Raw_Data!O527), Raw_Data!L527*Raw_Data!M527)</f>
        <v>3227.51</v>
      </c>
    </row>
    <row r="532" spans="2:6" x14ac:dyDescent="0.35">
      <c r="B532" s="13" t="s">
        <v>408</v>
      </c>
      <c r="C532" s="15" t="str">
        <f t="shared" si="8"/>
        <v>Sara Iqbal</v>
      </c>
      <c r="D532" s="17">
        <v>0.2</v>
      </c>
      <c r="E532" s="15">
        <f>IFERROR(IF(Raw_Data!N528="", 0, IF(Raw_Data!N528&gt;1, Raw_Data!N528/100, Raw_Data!N528)), 0)</f>
        <v>0.2</v>
      </c>
      <c r="F532" s="15">
        <f>IFERROR(VALUE(Raw_Data!O528), Raw_Data!L528*Raw_Data!M528)</f>
        <v>3590.24</v>
      </c>
    </row>
    <row r="533" spans="2:6" x14ac:dyDescent="0.35">
      <c r="B533" s="13" t="s">
        <v>207</v>
      </c>
      <c r="C533" s="15" t="str">
        <f t="shared" si="8"/>
        <v>Kamran Butt</v>
      </c>
      <c r="D533" s="17">
        <v>0</v>
      </c>
      <c r="E533" s="15">
        <f>IFERROR(IF(Raw_Data!N529="", 0, IF(Raw_Data!N529&gt;1, Raw_Data!N529/100, Raw_Data!N529)), 0)</f>
        <v>0</v>
      </c>
      <c r="F533" s="15">
        <f>IFERROR(VALUE(Raw_Data!O529), Raw_Data!L529*Raw_Data!M529)</f>
        <v>2256.17</v>
      </c>
    </row>
    <row r="534" spans="2:6" x14ac:dyDescent="0.35">
      <c r="B534" s="13" t="s">
        <v>523</v>
      </c>
      <c r="C534" s="15" t="str">
        <f t="shared" si="8"/>
        <v>Ahmed Butt</v>
      </c>
      <c r="D534" s="17">
        <v>0.15</v>
      </c>
      <c r="E534" s="15">
        <f>IFERROR(IF(Raw_Data!N530="", 0, IF(Raw_Data!N530&gt;1, Raw_Data!N530/100, Raw_Data!N530)), 0)</f>
        <v>0.15</v>
      </c>
      <c r="F534" s="15">
        <f>IFERROR(VALUE(Raw_Data!O530), Raw_Data!L530*Raw_Data!M530)</f>
        <v>6863.6</v>
      </c>
    </row>
    <row r="535" spans="2:6" x14ac:dyDescent="0.35">
      <c r="B535" s="13" t="s">
        <v>617</v>
      </c>
      <c r="C535" s="15" t="str">
        <f t="shared" si="8"/>
        <v>Nida Qureshi</v>
      </c>
      <c r="D535" s="17">
        <v>0.3</v>
      </c>
      <c r="E535" s="15">
        <f>IFERROR(IF(Raw_Data!N531="", 0, IF(Raw_Data!N531&gt;1, Raw_Data!N531/100, Raw_Data!N531)), 0)</f>
        <v>0.3</v>
      </c>
      <c r="F535" s="15">
        <f>IFERROR(VALUE(Raw_Data!O531), Raw_Data!L531*Raw_Data!M531)</f>
        <v>2106.84</v>
      </c>
    </row>
    <row r="536" spans="2:6" x14ac:dyDescent="0.35">
      <c r="B536" s="13" t="s">
        <v>845</v>
      </c>
      <c r="C536" s="15" t="str">
        <f t="shared" si="8"/>
        <v>Ali Butt</v>
      </c>
      <c r="D536" s="17">
        <v>0.2</v>
      </c>
      <c r="E536" s="15">
        <f>IFERROR(IF(Raw_Data!N532="", 0, IF(Raw_Data!N532&gt;1, Raw_Data!N532/100, Raw_Data!N532)), 0)</f>
        <v>0.2</v>
      </c>
      <c r="F536" s="15">
        <f>IFERROR(VALUE(Raw_Data!O532), Raw_Data!L532*Raw_Data!M532)</f>
        <v>1425.98</v>
      </c>
    </row>
    <row r="537" spans="2:6" x14ac:dyDescent="0.35">
      <c r="B537" s="13" t="s">
        <v>847</v>
      </c>
      <c r="C537" s="15" t="str">
        <f t="shared" si="8"/>
        <v>Sana Sheikh</v>
      </c>
      <c r="D537" s="17">
        <v>0.2</v>
      </c>
      <c r="E537" s="15">
        <f>IFERROR(IF(Raw_Data!N533="", 0, IF(Raw_Data!N533&gt;1, Raw_Data!N533/100, Raw_Data!N533)), 0)</f>
        <v>0.2</v>
      </c>
      <c r="F537" s="15">
        <f>IFERROR(VALUE(Raw_Data!O533), Raw_Data!L533*Raw_Data!M533)</f>
        <v>4120.16</v>
      </c>
    </row>
    <row r="538" spans="2:6" x14ac:dyDescent="0.35">
      <c r="B538" s="13" t="s">
        <v>241</v>
      </c>
      <c r="C538" s="15" t="str">
        <f t="shared" si="8"/>
        <v>Usman Sheikh</v>
      </c>
      <c r="D538" s="17">
        <v>0</v>
      </c>
      <c r="E538" s="15">
        <f>IFERROR(IF(Raw_Data!N534="", 0, IF(Raw_Data!N534&gt;1, Raw_Data!N534/100, Raw_Data!N534)), 0)</f>
        <v>0</v>
      </c>
      <c r="F538" s="15">
        <f>IFERROR(VALUE(Raw_Data!O534), Raw_Data!L534*Raw_Data!M534)</f>
        <v>1347.72</v>
      </c>
    </row>
    <row r="539" spans="2:6" x14ac:dyDescent="0.35">
      <c r="B539" s="13" t="s">
        <v>255</v>
      </c>
      <c r="C539" s="15" t="str">
        <f t="shared" si="8"/>
        <v>Tariq Ansari</v>
      </c>
      <c r="D539" s="17">
        <v>0.1</v>
      </c>
      <c r="E539" s="15">
        <f>IFERROR(IF(Raw_Data!N535="", 0, IF(Raw_Data!N535&gt;1, Raw_Data!N535/100, Raw_Data!N535)), 0)</f>
        <v>0.1</v>
      </c>
      <c r="F539" s="15">
        <f>IFERROR(VALUE(Raw_Data!O535), Raw_Data!L535*Raw_Data!M535)</f>
        <v>7944.1</v>
      </c>
    </row>
    <row r="540" spans="2:6" x14ac:dyDescent="0.35">
      <c r="B540" s="13" t="s">
        <v>637</v>
      </c>
      <c r="C540" s="15" t="str">
        <f t="shared" si="8"/>
        <v>Ayesha Iqbal</v>
      </c>
      <c r="D540" s="17">
        <v>0</v>
      </c>
      <c r="E540" s="15">
        <f>IFERROR(IF(Raw_Data!N536="", 0, IF(Raw_Data!N536&gt;1, Raw_Data!N536/100, Raw_Data!N536)), 0)</f>
        <v>0</v>
      </c>
      <c r="F540" s="15">
        <f>IFERROR(VALUE(Raw_Data!O536), Raw_Data!L536*Raw_Data!M536)</f>
        <v>8617.2000000000007</v>
      </c>
    </row>
    <row r="541" spans="2:6" x14ac:dyDescent="0.35">
      <c r="B541" s="13" t="s">
        <v>89</v>
      </c>
      <c r="C541" s="15" t="str">
        <f t="shared" si="8"/>
        <v>Hina Khan</v>
      </c>
      <c r="D541" s="17">
        <v>0.3</v>
      </c>
      <c r="E541" s="15">
        <f>IFERROR(IF(Raw_Data!N537="", 0, IF(Raw_Data!N537&gt;1, Raw_Data!N537/100, Raw_Data!N537)), 0)</f>
        <v>0.3</v>
      </c>
      <c r="F541" s="15">
        <f>IFERROR(VALUE(Raw_Data!O537), Raw_Data!L537*Raw_Data!M537)</f>
        <v>8087.75</v>
      </c>
    </row>
    <row r="542" spans="2:6" x14ac:dyDescent="0.35">
      <c r="B542" s="13" t="s">
        <v>437</v>
      </c>
      <c r="C542" s="15" t="str">
        <f t="shared" si="8"/>
        <v>Bilal Raza</v>
      </c>
      <c r="D542" s="17">
        <v>0.2</v>
      </c>
      <c r="E542" s="15">
        <f>IFERROR(IF(Raw_Data!N538="", 0, IF(Raw_Data!N538&gt;1, Raw_Data!N538/100, Raw_Data!N538)), 0)</f>
        <v>0.2</v>
      </c>
      <c r="F542" s="15">
        <f>IFERROR(VALUE(Raw_Data!O538), Raw_Data!L538*Raw_Data!M538)</f>
        <v>861.78</v>
      </c>
    </row>
    <row r="543" spans="2:6" x14ac:dyDescent="0.35">
      <c r="B543" s="13" t="s">
        <v>395</v>
      </c>
      <c r="C543" s="15" t="str">
        <f t="shared" si="8"/>
        <v>Usman Farooq</v>
      </c>
      <c r="D543" s="17">
        <v>0.2</v>
      </c>
      <c r="E543" s="15">
        <f>IFERROR(IF(Raw_Data!N539="", 0, IF(Raw_Data!N539&gt;1, Raw_Data!N539/100, Raw_Data!N539)), 0)</f>
        <v>0.2</v>
      </c>
      <c r="F543" s="15">
        <f>IFERROR(VALUE(Raw_Data!O539), Raw_Data!L539*Raw_Data!M539)</f>
        <v>3594.12</v>
      </c>
    </row>
    <row r="544" spans="2:6" x14ac:dyDescent="0.35">
      <c r="B544" s="13" t="s">
        <v>77</v>
      </c>
      <c r="C544" s="15" t="str">
        <f t="shared" si="8"/>
        <v>Mahnoor Iqbal</v>
      </c>
      <c r="D544" s="17">
        <v>0.1</v>
      </c>
      <c r="E544" s="15">
        <f>IFERROR(IF(Raw_Data!N540="", 0, IF(Raw_Data!N540&gt;1, Raw_Data!N540/100, Raw_Data!N540)), 0)</f>
        <v>0.1</v>
      </c>
      <c r="F544" s="15">
        <f>IFERROR(VALUE(Raw_Data!O540), Raw_Data!L540*Raw_Data!M540)</f>
        <v>2835.3</v>
      </c>
    </row>
    <row r="545" spans="2:6" x14ac:dyDescent="0.35">
      <c r="B545" s="13" t="s">
        <v>708</v>
      </c>
      <c r="C545" s="15" t="str">
        <f t="shared" si="8"/>
        <v>Ahmed Sheikh</v>
      </c>
      <c r="D545" s="17">
        <v>0.3</v>
      </c>
      <c r="E545" s="15">
        <f>IFERROR(IF(Raw_Data!N541="", 0, IF(Raw_Data!N541&gt;1, Raw_Data!N541/100, Raw_Data!N541)), 0)</f>
        <v>0.3</v>
      </c>
      <c r="F545" s="15">
        <f>IFERROR(VALUE(Raw_Data!O541), Raw_Data!L541*Raw_Data!M541)</f>
        <v>1403.82</v>
      </c>
    </row>
    <row r="546" spans="2:6" x14ac:dyDescent="0.35">
      <c r="B546" s="13" t="s">
        <v>395</v>
      </c>
      <c r="C546" s="15" t="str">
        <f t="shared" si="8"/>
        <v>Usman Farooq</v>
      </c>
      <c r="D546" s="17">
        <v>0.1</v>
      </c>
      <c r="E546" s="15">
        <f>IFERROR(IF(Raw_Data!N542="", 0, IF(Raw_Data!N542&gt;1, Raw_Data!N542/100, Raw_Data!N542)), 0)</f>
        <v>0.1</v>
      </c>
      <c r="F546" s="15">
        <f>IFERROR(VALUE(Raw_Data!O542), Raw_Data!L542*Raw_Data!M542)</f>
        <v>10344.719999999999</v>
      </c>
    </row>
    <row r="547" spans="2:6" x14ac:dyDescent="0.35">
      <c r="B547" s="13" t="s">
        <v>261</v>
      </c>
      <c r="C547" s="15" t="str">
        <f t="shared" si="8"/>
        <v>Mahnoor Malik</v>
      </c>
      <c r="D547" s="17">
        <v>0.15</v>
      </c>
      <c r="E547" s="15">
        <f>IFERROR(IF(Raw_Data!N543="", 0, IF(Raw_Data!N543&gt;1, Raw_Data!N543/100, Raw_Data!N543)), 0)</f>
        <v>0.15</v>
      </c>
      <c r="F547" s="15">
        <f>IFERROR(VALUE(Raw_Data!O543), Raw_Data!L543*Raw_Data!M543)</f>
        <v>3314.88</v>
      </c>
    </row>
    <row r="548" spans="2:6" x14ac:dyDescent="0.35">
      <c r="B548" s="13" t="s">
        <v>637</v>
      </c>
      <c r="C548" s="15" t="str">
        <f t="shared" si="8"/>
        <v>Ayesha Iqbal</v>
      </c>
      <c r="D548" s="17">
        <v>0</v>
      </c>
      <c r="E548" s="15">
        <f>IFERROR(IF(Raw_Data!N544="", 0, IF(Raw_Data!N544&gt;1, Raw_Data!N544/100, Raw_Data!N544)), 0)</f>
        <v>0</v>
      </c>
      <c r="F548" s="15">
        <f>IFERROR(VALUE(Raw_Data!O544), Raw_Data!L544*Raw_Data!M544)</f>
        <v>1760.9</v>
      </c>
    </row>
    <row r="549" spans="2:6" x14ac:dyDescent="0.35">
      <c r="B549" s="13" t="s">
        <v>285</v>
      </c>
      <c r="C549" s="15" t="str">
        <f t="shared" si="8"/>
        <v>Adeel Chaudhry</v>
      </c>
      <c r="D549" s="17">
        <v>0.2</v>
      </c>
      <c r="E549" s="15">
        <f>IFERROR(IF(Raw_Data!N545="", 0, IF(Raw_Data!N545&gt;1, Raw_Data!N545/100, Raw_Data!N545)), 0)</f>
        <v>0.2</v>
      </c>
      <c r="F549" s="15">
        <f>IFERROR(VALUE(Raw_Data!O545), Raw_Data!L545*Raw_Data!M545)</f>
        <v>1051.8900000000001</v>
      </c>
    </row>
    <row r="550" spans="2:6" x14ac:dyDescent="0.35">
      <c r="B550" s="13" t="s">
        <v>450</v>
      </c>
      <c r="C550" s="15" t="str">
        <f t="shared" si="8"/>
        <v>Bilal Ansari</v>
      </c>
      <c r="D550" s="17">
        <v>0</v>
      </c>
      <c r="E550" s="15">
        <f>IFERROR(IF(Raw_Data!N546="", 0, IF(Raw_Data!N546&gt;1, Raw_Data!N546/100, Raw_Data!N546)), 0)</f>
        <v>0</v>
      </c>
      <c r="F550" s="15">
        <f>IFERROR(VALUE(Raw_Data!O546), Raw_Data!L546*Raw_Data!M546)</f>
        <v>1551.4</v>
      </c>
    </row>
    <row r="551" spans="2:6" x14ac:dyDescent="0.35">
      <c r="B551" s="13" t="s">
        <v>102</v>
      </c>
      <c r="C551" s="15" t="str">
        <f t="shared" si="8"/>
        <v>Zara Chaudhry</v>
      </c>
      <c r="D551" s="17">
        <v>0</v>
      </c>
      <c r="E551" s="15">
        <f>IFERROR(IF(Raw_Data!N547="", 0, IF(Raw_Data!N547&gt;1, Raw_Data!N547/100, Raw_Data!N547)), 0)</f>
        <v>0</v>
      </c>
      <c r="F551" s="15">
        <f>IFERROR(VALUE(Raw_Data!O547), Raw_Data!L547*Raw_Data!M547)</f>
        <v>4253.2</v>
      </c>
    </row>
    <row r="552" spans="2:6" x14ac:dyDescent="0.35">
      <c r="B552" s="13" t="s">
        <v>847</v>
      </c>
      <c r="C552" s="15" t="str">
        <f t="shared" si="8"/>
        <v>Sana Sheikh</v>
      </c>
      <c r="D552" s="17">
        <v>0</v>
      </c>
      <c r="E552" s="15">
        <f>IFERROR(IF(Raw_Data!N548="", 0, IF(Raw_Data!N548&gt;1, Raw_Data!N548/100, Raw_Data!N548)), 0)</f>
        <v>0</v>
      </c>
      <c r="F552" s="15">
        <f>IFERROR(VALUE(Raw_Data!O548), Raw_Data!L548*Raw_Data!M548)</f>
        <v>3585.34</v>
      </c>
    </row>
    <row r="553" spans="2:6" x14ac:dyDescent="0.35">
      <c r="B553" s="13" t="s">
        <v>301</v>
      </c>
      <c r="C553" s="15" t="str">
        <f t="shared" si="8"/>
        <v>Sara Malik</v>
      </c>
      <c r="D553" s="17">
        <v>0.2</v>
      </c>
      <c r="E553" s="15">
        <f>IFERROR(IF(Raw_Data!N549="", 0, IF(Raw_Data!N549&gt;1, Raw_Data!N549/100, Raw_Data!N549)), 0)</f>
        <v>0.2</v>
      </c>
      <c r="F553" s="15">
        <f>IFERROR(VALUE(Raw_Data!O549), Raw_Data!L549*Raw_Data!M549)</f>
        <v>765.38</v>
      </c>
    </row>
    <row r="554" spans="2:6" x14ac:dyDescent="0.35">
      <c r="B554" s="13" t="s">
        <v>758</v>
      </c>
      <c r="C554" s="15" t="str">
        <f t="shared" si="8"/>
        <v>Sara Farooq</v>
      </c>
      <c r="D554" s="17">
        <v>0.15</v>
      </c>
      <c r="E554" s="15">
        <f>IFERROR(IF(Raw_Data!N550="", 0, IF(Raw_Data!N550&gt;1, Raw_Data!N550/100, Raw_Data!N550)), 0)</f>
        <v>0.15</v>
      </c>
      <c r="F554" s="15">
        <f>IFERROR(VALUE(Raw_Data!O550), Raw_Data!L550*Raw_Data!M550)</f>
        <v>1363.74</v>
      </c>
    </row>
    <row r="555" spans="2:6" x14ac:dyDescent="0.35">
      <c r="B555" s="13" t="s">
        <v>283</v>
      </c>
      <c r="C555" s="15" t="str">
        <f t="shared" si="8"/>
        <v>Bilal Khan</v>
      </c>
      <c r="D555" s="17">
        <v>0</v>
      </c>
      <c r="E555" s="15">
        <f>IFERROR(IF(Raw_Data!N551="", 0, IF(Raw_Data!N551&gt;1, Raw_Data!N551/100, Raw_Data!N551)), 0)</f>
        <v>0</v>
      </c>
      <c r="F555" s="15">
        <f>IFERROR(VALUE(Raw_Data!O551), Raw_Data!L551*Raw_Data!M551)</f>
        <v>3289.44</v>
      </c>
    </row>
    <row r="556" spans="2:6" x14ac:dyDescent="0.35">
      <c r="B556" s="13" t="s">
        <v>71</v>
      </c>
      <c r="C556" s="15" t="str">
        <f t="shared" si="8"/>
        <v>Nida Khan</v>
      </c>
      <c r="D556" s="17">
        <v>0.15</v>
      </c>
      <c r="E556" s="15">
        <f>IFERROR(IF(Raw_Data!N552="", 0, IF(Raw_Data!N552&gt;1, Raw_Data!N552/100, Raw_Data!N552)), 0)</f>
        <v>0.15</v>
      </c>
      <c r="F556" s="15">
        <f>IFERROR(VALUE(Raw_Data!O552), Raw_Data!L552*Raw_Data!M552)</f>
        <v>871.59</v>
      </c>
    </row>
    <row r="557" spans="2:6" x14ac:dyDescent="0.35">
      <c r="B557" s="13" t="s">
        <v>865</v>
      </c>
      <c r="C557" s="15" t="str">
        <f t="shared" si="8"/>
        <v>Ahmed Butt</v>
      </c>
      <c r="D557" s="17">
        <v>0.15</v>
      </c>
      <c r="E557" s="15">
        <f>IFERROR(IF(Raw_Data!N553="", 0, IF(Raw_Data!N553&gt;1, Raw_Data!N553/100, Raw_Data!N553)), 0)</f>
        <v>0.15</v>
      </c>
      <c r="F557" s="15">
        <f>IFERROR(VALUE(Raw_Data!O553), Raw_Data!L553*Raw_Data!M553)</f>
        <v>5640.03</v>
      </c>
    </row>
    <row r="558" spans="2:6" x14ac:dyDescent="0.35">
      <c r="B558" s="13" t="s">
        <v>505</v>
      </c>
      <c r="C558" s="15" t="str">
        <f t="shared" si="8"/>
        <v>Imran Iqbal</v>
      </c>
      <c r="D558" s="17">
        <v>0</v>
      </c>
      <c r="E558" s="15">
        <f>IFERROR(IF(Raw_Data!N554="", 0, IF(Raw_Data!N554&gt;1, Raw_Data!N554/100, Raw_Data!N554)), 0)</f>
        <v>0</v>
      </c>
      <c r="F558" s="15">
        <f>IFERROR(VALUE(Raw_Data!O554), Raw_Data!L554*Raw_Data!M554)</f>
        <v>180.73</v>
      </c>
    </row>
    <row r="559" spans="2:6" x14ac:dyDescent="0.35">
      <c r="B559" s="13" t="s">
        <v>342</v>
      </c>
      <c r="C559" s="15" t="str">
        <f t="shared" si="8"/>
        <v>Hassan Chaudhry</v>
      </c>
      <c r="D559" s="17">
        <v>0.2</v>
      </c>
      <c r="E559" s="15">
        <f>IFERROR(IF(Raw_Data!N555="", 0, IF(Raw_Data!N555&gt;1, Raw_Data!N555/100, Raw_Data!N555)), 0)</f>
        <v>0.2</v>
      </c>
      <c r="F559" s="15">
        <f>IFERROR(VALUE(Raw_Data!O555), Raw_Data!L555*Raw_Data!M555)</f>
        <v>5349.08</v>
      </c>
    </row>
    <row r="560" spans="2:6" x14ac:dyDescent="0.35">
      <c r="B560" s="13" t="s">
        <v>415</v>
      </c>
      <c r="C560" s="15" t="str">
        <f t="shared" si="8"/>
        <v>Rabia Malik</v>
      </c>
      <c r="D560" s="17">
        <v>0</v>
      </c>
      <c r="E560" s="15">
        <f>IFERROR(IF(Raw_Data!N556="", 0, IF(Raw_Data!N556&gt;1, Raw_Data!N556/100, Raw_Data!N556)), 0)</f>
        <v>0</v>
      </c>
      <c r="F560" s="15">
        <f>IFERROR(VALUE(Raw_Data!O556), Raw_Data!L556*Raw_Data!M556)</f>
        <v>4117.1000000000004</v>
      </c>
    </row>
    <row r="561" spans="2:6" x14ac:dyDescent="0.35">
      <c r="B561" s="13" t="s">
        <v>693</v>
      </c>
      <c r="C561" s="15" t="str">
        <f t="shared" si="8"/>
        <v>Adeel Raza</v>
      </c>
      <c r="D561" s="17">
        <v>0.15</v>
      </c>
      <c r="E561" s="15">
        <f>IFERROR(IF(Raw_Data!N557="", 0, IF(Raw_Data!N557&gt;1, Raw_Data!N557/100, Raw_Data!N557)), 0)</f>
        <v>0.15</v>
      </c>
      <c r="F561" s="15">
        <f>IFERROR(VALUE(Raw_Data!O557), Raw_Data!L557*Raw_Data!M557)</f>
        <v>2376.15</v>
      </c>
    </row>
    <row r="562" spans="2:6" x14ac:dyDescent="0.35">
      <c r="B562" s="13" t="s">
        <v>81</v>
      </c>
      <c r="C562" s="15" t="str">
        <f t="shared" si="8"/>
        <v>Zara Butt</v>
      </c>
      <c r="D562" s="17">
        <v>0.2</v>
      </c>
      <c r="E562" s="15">
        <f>IFERROR(IF(Raw_Data!N558="", 0, IF(Raw_Data!N558&gt;1, Raw_Data!N558/100, Raw_Data!N558)), 0)</f>
        <v>0.2</v>
      </c>
      <c r="F562" s="15">
        <f>IFERROR(VALUE(Raw_Data!O558), Raw_Data!L558*Raw_Data!M558)</f>
        <v>4805.28</v>
      </c>
    </row>
    <row r="563" spans="2:6" x14ac:dyDescent="0.35">
      <c r="B563" s="13" t="s">
        <v>576</v>
      </c>
      <c r="C563" s="15" t="str">
        <f t="shared" si="8"/>
        <v>Rabia Sheikh</v>
      </c>
      <c r="D563" s="17">
        <v>0</v>
      </c>
      <c r="E563" s="15">
        <f>IFERROR(IF(Raw_Data!N559="", 0, IF(Raw_Data!N559&gt;1, Raw_Data!N559/100, Raw_Data!N559)), 0)</f>
        <v>0</v>
      </c>
      <c r="F563" s="15">
        <f>IFERROR(VALUE(Raw_Data!O559), Raw_Data!L559*Raw_Data!M559)</f>
        <v>1017.33</v>
      </c>
    </row>
    <row r="564" spans="2:6" x14ac:dyDescent="0.35">
      <c r="B564" s="13" t="s">
        <v>873</v>
      </c>
      <c r="C564" s="15" t="str">
        <f t="shared" si="8"/>
        <v>Omar Iqbal</v>
      </c>
      <c r="D564" s="17">
        <v>0.3</v>
      </c>
      <c r="E564" s="15">
        <f>IFERROR(IF(Raw_Data!N560="", 0, IF(Raw_Data!N560&gt;1, Raw_Data!N560/100, Raw_Data!N560)), 0)</f>
        <v>0.3</v>
      </c>
      <c r="F564" s="15">
        <f>IFERROR(VALUE(Raw_Data!O560), Raw_Data!L560*Raw_Data!M560)</f>
        <v>657.51</v>
      </c>
    </row>
    <row r="565" spans="2:6" x14ac:dyDescent="0.35">
      <c r="B565" s="13" t="s">
        <v>805</v>
      </c>
      <c r="C565" s="15" t="str">
        <f t="shared" si="8"/>
        <v>Sara Qureshi</v>
      </c>
      <c r="D565" s="17">
        <v>0.3</v>
      </c>
      <c r="E565" s="15">
        <f>IFERROR(IF(Raw_Data!N561="", 0, IF(Raw_Data!N561&gt;1, Raw_Data!N561/100, Raw_Data!N561)), 0)</f>
        <v>0.3</v>
      </c>
      <c r="F565" s="15">
        <f>IFERROR(VALUE(Raw_Data!O561), Raw_Data!L561*Raw_Data!M561)</f>
        <v>1024.44</v>
      </c>
    </row>
    <row r="566" spans="2:6" x14ac:dyDescent="0.35">
      <c r="B566" s="13" t="s">
        <v>66</v>
      </c>
      <c r="C566" s="15" t="str">
        <f t="shared" si="8"/>
        <v>Usman Qureshi</v>
      </c>
      <c r="D566" s="17">
        <v>0</v>
      </c>
      <c r="E566" s="15">
        <f>IFERROR(IF(Raw_Data!N562="", 0, IF(Raw_Data!N562&gt;1, Raw_Data!N562/100, Raw_Data!N562)), 0)</f>
        <v>0</v>
      </c>
      <c r="F566" s="15">
        <f>IFERROR(VALUE(Raw_Data!O562), Raw_Data!L562*Raw_Data!M562)</f>
        <v>995.2</v>
      </c>
    </row>
    <row r="567" spans="2:6" x14ac:dyDescent="0.35">
      <c r="B567" s="13" t="s">
        <v>737</v>
      </c>
      <c r="C567" s="15" t="str">
        <f t="shared" si="8"/>
        <v>Hassan Ansari</v>
      </c>
      <c r="D567" s="17">
        <v>0</v>
      </c>
      <c r="E567" s="15">
        <f>IFERROR(IF(Raw_Data!N563="", 0, IF(Raw_Data!N563&gt;1, Raw_Data!N563/100, Raw_Data!N563)), 0)</f>
        <v>0</v>
      </c>
      <c r="F567" s="15">
        <f>IFERROR(VALUE(Raw_Data!O563), Raw_Data!L563*Raw_Data!M563)</f>
        <v>943.84</v>
      </c>
    </row>
    <row r="568" spans="2:6" x14ac:dyDescent="0.35">
      <c r="B568" s="13" t="s">
        <v>589</v>
      </c>
      <c r="C568" s="15" t="str">
        <f t="shared" si="8"/>
        <v>Mahnoor Raza</v>
      </c>
      <c r="D568" s="17">
        <v>0</v>
      </c>
      <c r="E568" s="15">
        <f>IFERROR(IF(Raw_Data!N564="", 0, IF(Raw_Data!N564&gt;1, Raw_Data!N564/100, Raw_Data!N564)), 0)</f>
        <v>0</v>
      </c>
      <c r="F568" s="15">
        <f>IFERROR(VALUE(Raw_Data!O564), Raw_Data!L564*Raw_Data!M564)</f>
        <v>715.66</v>
      </c>
    </row>
    <row r="569" spans="2:6" x14ac:dyDescent="0.35">
      <c r="B569" s="13" t="s">
        <v>383</v>
      </c>
      <c r="C569" s="15" t="str">
        <f t="shared" si="8"/>
        <v>Omar Ansari</v>
      </c>
      <c r="D569" s="17">
        <v>0.3</v>
      </c>
      <c r="E569" s="15">
        <f>IFERROR(IF(Raw_Data!N565="", 0, IF(Raw_Data!N565&gt;1, Raw_Data!N565/100, Raw_Data!N565)), 0)</f>
        <v>0.3</v>
      </c>
      <c r="F569" s="15">
        <f>IFERROR(VALUE(Raw_Data!O565), Raw_Data!L565*Raw_Data!M565)</f>
        <v>1873.48</v>
      </c>
    </row>
    <row r="570" spans="2:6" x14ac:dyDescent="0.35">
      <c r="B570" s="13" t="s">
        <v>167</v>
      </c>
      <c r="C570" s="15" t="str">
        <f t="shared" si="8"/>
        <v>Imran Farooq</v>
      </c>
      <c r="D570" s="17">
        <v>0</v>
      </c>
      <c r="E570" s="15">
        <f>IFERROR(IF(Raw_Data!N566="", 0, IF(Raw_Data!N566&gt;1, Raw_Data!N566/100, Raw_Data!N566)), 0)</f>
        <v>0</v>
      </c>
      <c r="F570" s="15">
        <f>IFERROR(VALUE(Raw_Data!O566), Raw_Data!L566*Raw_Data!M566)</f>
        <v>2018.61</v>
      </c>
    </row>
    <row r="571" spans="2:6" x14ac:dyDescent="0.35">
      <c r="B571" s="13" t="s">
        <v>615</v>
      </c>
      <c r="C571" s="15" t="str">
        <f t="shared" si="8"/>
        <v>Bilal Qureshi</v>
      </c>
      <c r="D571" s="17">
        <v>0</v>
      </c>
      <c r="E571" s="15">
        <f>IFERROR(IF(Raw_Data!N567="", 0, IF(Raw_Data!N567&gt;1, Raw_Data!N567/100, Raw_Data!N567)), 0)</f>
        <v>0</v>
      </c>
      <c r="F571" s="15">
        <f>IFERROR(VALUE(Raw_Data!O567), Raw_Data!L567*Raw_Data!M567)</f>
        <v>406.2</v>
      </c>
    </row>
    <row r="572" spans="2:6" x14ac:dyDescent="0.35">
      <c r="B572" s="13">
        <v>0</v>
      </c>
      <c r="C572" s="15" t="str">
        <f t="shared" si="8"/>
        <v>Unknown Customer</v>
      </c>
      <c r="D572" s="17">
        <v>0.3</v>
      </c>
      <c r="E572" s="15">
        <f>IFERROR(IF(Raw_Data!N568="", 0, IF(Raw_Data!N568&gt;1, Raw_Data!N568/100, Raw_Data!N568)), 0)</f>
        <v>0.3</v>
      </c>
      <c r="F572" s="15">
        <f>IFERROR(VALUE(Raw_Data!O568), Raw_Data!L568*Raw_Data!M568)</f>
        <v>898.56</v>
      </c>
    </row>
    <row r="573" spans="2:6" x14ac:dyDescent="0.35">
      <c r="B573" s="13" t="s">
        <v>171</v>
      </c>
      <c r="C573" s="15" t="str">
        <f t="shared" si="8"/>
        <v>Sara Khan</v>
      </c>
      <c r="D573" s="17">
        <v>0</v>
      </c>
      <c r="E573" s="15">
        <f>IFERROR(IF(Raw_Data!N569="", 0, IF(Raw_Data!N569&gt;1, Raw_Data!N569/100, Raw_Data!N569)), 0)</f>
        <v>0</v>
      </c>
      <c r="F573" s="15">
        <f>IFERROR(VALUE(Raw_Data!O569), Raw_Data!L569*Raw_Data!M569)</f>
        <v>1192.53</v>
      </c>
    </row>
    <row r="574" spans="2:6" x14ac:dyDescent="0.35">
      <c r="B574" s="13" t="s">
        <v>261</v>
      </c>
      <c r="C574" s="15" t="str">
        <f t="shared" si="8"/>
        <v>Mahnoor Malik</v>
      </c>
      <c r="D574" s="17">
        <v>0.15</v>
      </c>
      <c r="E574" s="15">
        <f>IFERROR(IF(Raw_Data!N570="", 0, IF(Raw_Data!N570&gt;1, Raw_Data!N570/100, Raw_Data!N570)), 0)</f>
        <v>0.15</v>
      </c>
      <c r="F574" s="15">
        <f>IFERROR(VALUE(Raw_Data!O570), Raw_Data!L570*Raw_Data!M570)</f>
        <v>3647.52</v>
      </c>
    </row>
    <row r="575" spans="2:6" x14ac:dyDescent="0.35">
      <c r="B575" s="13" t="s">
        <v>617</v>
      </c>
      <c r="C575" s="15" t="str">
        <f t="shared" si="8"/>
        <v>Nida Qureshi</v>
      </c>
      <c r="D575" s="17">
        <v>0</v>
      </c>
      <c r="E575" s="15">
        <f>IFERROR(IF(Raw_Data!N571="", 0, IF(Raw_Data!N571&gt;1, Raw_Data!N571/100, Raw_Data!N571)), 0)</f>
        <v>0</v>
      </c>
      <c r="F575" s="15">
        <f>IFERROR(VALUE(Raw_Data!O571), Raw_Data!L571*Raw_Data!M571)</f>
        <v>3273.93</v>
      </c>
    </row>
    <row r="576" spans="2:6" x14ac:dyDescent="0.35">
      <c r="B576" s="13">
        <v>0</v>
      </c>
      <c r="C576" s="15" t="str">
        <f t="shared" si="8"/>
        <v>Unknown Customer</v>
      </c>
      <c r="D576" s="17">
        <v>0</v>
      </c>
      <c r="E576" s="15">
        <f>IFERROR(IF(Raw_Data!N572="", 0, IF(Raw_Data!N572&gt;1, Raw_Data!N572/100, Raw_Data!N572)), 0)</f>
        <v>0</v>
      </c>
      <c r="F576" s="15">
        <f>IFERROR(VALUE(Raw_Data!O572), Raw_Data!L572*Raw_Data!M572)</f>
        <v>436.36</v>
      </c>
    </row>
    <row r="577" spans="2:6" x14ac:dyDescent="0.35">
      <c r="B577" s="13" t="s">
        <v>81</v>
      </c>
      <c r="C577" s="15" t="str">
        <f t="shared" si="8"/>
        <v>Zara Butt</v>
      </c>
      <c r="D577" s="17">
        <v>0.2</v>
      </c>
      <c r="E577" s="15">
        <f>IFERROR(IF(Raw_Data!N573="", 0, IF(Raw_Data!N573&gt;1, Raw_Data!N573/100, Raw_Data!N573)), 0)</f>
        <v>0.2</v>
      </c>
      <c r="F577" s="15">
        <f>IFERROR(VALUE(Raw_Data!O573), Raw_Data!L573*Raw_Data!M573)</f>
        <v>4995.72</v>
      </c>
    </row>
    <row r="578" spans="2:6" x14ac:dyDescent="0.35">
      <c r="B578" s="13" t="s">
        <v>781</v>
      </c>
      <c r="C578" s="15" t="str">
        <f t="shared" si="8"/>
        <v>Tariq Sheikh</v>
      </c>
      <c r="D578" s="17">
        <v>0.3</v>
      </c>
      <c r="E578" s="15">
        <f>IFERROR(IF(Raw_Data!N574="", 0, IF(Raw_Data!N574&gt;1, Raw_Data!N574/100, Raw_Data!N574)), 0)</f>
        <v>0.3</v>
      </c>
      <c r="F578" s="15">
        <f>IFERROR(VALUE(Raw_Data!O574), Raw_Data!L574*Raw_Data!M574)</f>
        <v>6426.09</v>
      </c>
    </row>
    <row r="579" spans="2:6" x14ac:dyDescent="0.35">
      <c r="B579" s="13" t="s">
        <v>137</v>
      </c>
      <c r="C579" s="15" t="str">
        <f t="shared" si="8"/>
        <v>Ayesha Farooq</v>
      </c>
      <c r="D579" s="17">
        <v>10</v>
      </c>
      <c r="E579" s="15">
        <f>IFERROR(IF(Raw_Data!N575="", 0, IF(Raw_Data!N575&gt;1, Raw_Data!N575/100, Raw_Data!N575)), 0)</f>
        <v>0.1</v>
      </c>
      <c r="F579" s="15">
        <f>IFERROR(VALUE(Raw_Data!O575), Raw_Data!L575*Raw_Data!M575)</f>
        <v>7513.29</v>
      </c>
    </row>
    <row r="580" spans="2:6" x14ac:dyDescent="0.35">
      <c r="B580" s="13" t="s">
        <v>408</v>
      </c>
      <c r="C580" s="15" t="str">
        <f t="shared" si="8"/>
        <v>Sara Iqbal</v>
      </c>
      <c r="D580" s="17">
        <v>0.2</v>
      </c>
      <c r="E580" s="15">
        <f>IFERROR(IF(Raw_Data!N576="", 0, IF(Raw_Data!N576&gt;1, Raw_Data!N576/100, Raw_Data!N576)), 0)</f>
        <v>0.2</v>
      </c>
      <c r="F580" s="15">
        <f>IFERROR(VALUE(Raw_Data!O576), Raw_Data!L576*Raw_Data!M576)</f>
        <v>1371.06</v>
      </c>
    </row>
    <row r="581" spans="2:6" x14ac:dyDescent="0.35">
      <c r="B581" s="13" t="s">
        <v>890</v>
      </c>
      <c r="C581" s="15" t="str">
        <f t="shared" si="8"/>
        <v>Adeel Khan</v>
      </c>
      <c r="D581" s="17">
        <v>0</v>
      </c>
      <c r="E581" s="15">
        <f>IFERROR(IF(Raw_Data!N577="", 0, IF(Raw_Data!N577&gt;1, Raw_Data!N577/100, Raw_Data!N577)), 0)</f>
        <v>0</v>
      </c>
      <c r="F581" s="15">
        <f>IFERROR(VALUE(Raw_Data!O577), Raw_Data!L577*Raw_Data!M577)</f>
        <v>6830.89</v>
      </c>
    </row>
    <row r="582" spans="2:6" x14ac:dyDescent="0.35">
      <c r="B582" s="13" t="s">
        <v>255</v>
      </c>
      <c r="C582" s="15" t="str">
        <f t="shared" si="8"/>
        <v>Tariq Ansari</v>
      </c>
      <c r="D582" s="17">
        <v>0.1</v>
      </c>
      <c r="E582" s="15">
        <f>IFERROR(IF(Raw_Data!N578="", 0, IF(Raw_Data!N578&gt;1, Raw_Data!N578/100, Raw_Data!N578)), 0)</f>
        <v>0.1</v>
      </c>
      <c r="F582" s="15">
        <f>IFERROR(VALUE(Raw_Data!O578), Raw_Data!L578*Raw_Data!M578)</f>
        <v>7944.1</v>
      </c>
    </row>
    <row r="583" spans="2:6" x14ac:dyDescent="0.35">
      <c r="B583" s="13" t="s">
        <v>737</v>
      </c>
      <c r="C583" s="15" t="str">
        <f t="shared" ref="C583:C646" si="9">IF(OR(B583="",B583=0), "Unknown Customer", PROPER(TRIM(B583)))</f>
        <v>Hassan Ansari</v>
      </c>
      <c r="D583" s="17">
        <v>0</v>
      </c>
      <c r="E583" s="15">
        <f>IFERROR(IF(Raw_Data!N579="", 0, IF(Raw_Data!N579&gt;1, Raw_Data!N579/100, Raw_Data!N579)), 0)</f>
        <v>0</v>
      </c>
      <c r="F583" s="15">
        <f>IFERROR(VALUE(Raw_Data!O579), Raw_Data!L579*Raw_Data!M579)</f>
        <v>4192</v>
      </c>
    </row>
    <row r="584" spans="2:6" x14ac:dyDescent="0.35">
      <c r="B584" s="13" t="s">
        <v>395</v>
      </c>
      <c r="C584" s="15" t="str">
        <f t="shared" si="9"/>
        <v>Usman Farooq</v>
      </c>
      <c r="D584" s="17">
        <v>0.3</v>
      </c>
      <c r="E584" s="15">
        <f>IFERROR(IF(Raw_Data!N580="", 0, IF(Raw_Data!N580&gt;1, Raw_Data!N580/100, Raw_Data!N580)), 0)</f>
        <v>0.3</v>
      </c>
      <c r="F584" s="15">
        <f>IFERROR(VALUE(Raw_Data!O580), Raw_Data!L580*Raw_Data!M580)</f>
        <v>2161.3200000000002</v>
      </c>
    </row>
    <row r="585" spans="2:6" x14ac:dyDescent="0.35">
      <c r="B585" s="13" t="s">
        <v>274</v>
      </c>
      <c r="C585" s="15" t="str">
        <f t="shared" si="9"/>
        <v>Mahnoor Butt</v>
      </c>
      <c r="D585" s="17">
        <v>0.1</v>
      </c>
      <c r="E585" s="15">
        <f>IFERROR(IF(Raw_Data!N581="", 0, IF(Raw_Data!N581&gt;1, Raw_Data!N581/100, Raw_Data!N581)), 0)</f>
        <v>0.1</v>
      </c>
      <c r="F585" s="15">
        <f>IFERROR(VALUE(Raw_Data!O581), Raw_Data!L581*Raw_Data!M581)</f>
        <v>2264.44</v>
      </c>
    </row>
    <row r="586" spans="2:6" x14ac:dyDescent="0.35">
      <c r="B586" s="13" t="s">
        <v>340</v>
      </c>
      <c r="C586" s="15" t="str">
        <f t="shared" si="9"/>
        <v>Rabia Qureshi</v>
      </c>
      <c r="D586" s="17">
        <v>0.3</v>
      </c>
      <c r="E586" s="15">
        <f>IFERROR(IF(Raw_Data!N582="", 0, IF(Raw_Data!N582&gt;1, Raw_Data!N582/100, Raw_Data!N582)), 0)</f>
        <v>0.3</v>
      </c>
      <c r="F586" s="15">
        <f>IFERROR(VALUE(Raw_Data!O582), Raw_Data!L582*Raw_Data!M582)</f>
        <v>4700.28</v>
      </c>
    </row>
    <row r="587" spans="2:6" x14ac:dyDescent="0.35">
      <c r="B587" s="13" t="s">
        <v>599</v>
      </c>
      <c r="C587" s="15" t="str">
        <f t="shared" si="9"/>
        <v>Ayesha Malik</v>
      </c>
      <c r="D587" s="17">
        <v>0</v>
      </c>
      <c r="E587" s="15">
        <f>IFERROR(IF(Raw_Data!N583="", 0, IF(Raw_Data!N583&gt;1, Raw_Data!N583/100, Raw_Data!N583)), 0)</f>
        <v>0</v>
      </c>
      <c r="F587" s="15">
        <f>IFERROR(VALUE(Raw_Data!O583), Raw_Data!L583*Raw_Data!M583)</f>
        <v>3280.55</v>
      </c>
    </row>
    <row r="588" spans="2:6" x14ac:dyDescent="0.35">
      <c r="B588" s="13" t="s">
        <v>445</v>
      </c>
      <c r="C588" s="15" t="str">
        <f t="shared" si="9"/>
        <v>Hassan Sheikh</v>
      </c>
      <c r="D588" s="17">
        <v>0.2</v>
      </c>
      <c r="E588" s="15">
        <f>IFERROR(IF(Raw_Data!N584="", 0, IF(Raw_Data!N584&gt;1, Raw_Data!N584/100, Raw_Data!N584)), 0)</f>
        <v>0.2</v>
      </c>
      <c r="F588" s="15">
        <f>IFERROR(VALUE(Raw_Data!O584), Raw_Data!L584*Raw_Data!M584)</f>
        <v>3500.16</v>
      </c>
    </row>
    <row r="589" spans="2:6" x14ac:dyDescent="0.35">
      <c r="B589" s="13" t="s">
        <v>322</v>
      </c>
      <c r="C589" s="15" t="str">
        <f t="shared" si="9"/>
        <v>Hassan Qureshi</v>
      </c>
      <c r="D589" s="17">
        <v>0</v>
      </c>
      <c r="E589" s="15">
        <f>IFERROR(IF(Raw_Data!N585="", 0, IF(Raw_Data!N585&gt;1, Raw_Data!N585/100, Raw_Data!N585)), 0)</f>
        <v>0</v>
      </c>
      <c r="F589" s="15">
        <f>IFERROR(VALUE(Raw_Data!O585), Raw_Data!L585*Raw_Data!M585)</f>
        <v>7254.45</v>
      </c>
    </row>
    <row r="590" spans="2:6" x14ac:dyDescent="0.35">
      <c r="B590" s="13" t="s">
        <v>805</v>
      </c>
      <c r="C590" s="15" t="str">
        <f t="shared" si="9"/>
        <v>Sara Qureshi</v>
      </c>
      <c r="D590" s="17">
        <v>0</v>
      </c>
      <c r="E590" s="15">
        <f>IFERROR(IF(Raw_Data!N586="", 0, IF(Raw_Data!N586&gt;1, Raw_Data!N586/100, Raw_Data!N586)), 0)</f>
        <v>0</v>
      </c>
      <c r="F590" s="15">
        <f>IFERROR(VALUE(Raw_Data!O586), Raw_Data!L586*Raw_Data!M586)</f>
        <v>3873.33</v>
      </c>
    </row>
    <row r="591" spans="2:6" x14ac:dyDescent="0.35">
      <c r="B591" s="13" t="s">
        <v>637</v>
      </c>
      <c r="C591" s="15" t="str">
        <f t="shared" si="9"/>
        <v>Ayesha Iqbal</v>
      </c>
      <c r="D591" s="17">
        <v>0.3</v>
      </c>
      <c r="E591" s="15">
        <f>IFERROR(IF(Raw_Data!N587="", 0, IF(Raw_Data!N587&gt;1, Raw_Data!N587/100, Raw_Data!N587)), 0)</f>
        <v>0.3</v>
      </c>
      <c r="F591" s="15">
        <f>IFERROR(VALUE(Raw_Data!O587), Raw_Data!L587*Raw_Data!M587)</f>
        <v>4097.28</v>
      </c>
    </row>
    <row r="592" spans="2:6" x14ac:dyDescent="0.35">
      <c r="B592" s="13" t="s">
        <v>901</v>
      </c>
      <c r="C592" s="15" t="str">
        <f t="shared" si="9"/>
        <v>Hina Chaudhry</v>
      </c>
      <c r="D592" s="17">
        <v>0</v>
      </c>
      <c r="E592" s="15">
        <f>IFERROR(IF(Raw_Data!N588="", 0, IF(Raw_Data!N588&gt;1, Raw_Data!N588/100, Raw_Data!N588)), 0)</f>
        <v>0</v>
      </c>
      <c r="F592" s="15">
        <f>IFERROR(VALUE(Raw_Data!O588), Raw_Data!L588*Raw_Data!M588)</f>
        <v>619.08000000000004</v>
      </c>
    </row>
    <row r="593" spans="2:6" x14ac:dyDescent="0.35">
      <c r="B593" s="13" t="s">
        <v>251</v>
      </c>
      <c r="C593" s="15" t="str">
        <f t="shared" si="9"/>
        <v>Hina Qureshi</v>
      </c>
      <c r="D593" s="17">
        <v>0</v>
      </c>
      <c r="E593" s="15">
        <f>IFERROR(IF(Raw_Data!N589="", 0, IF(Raw_Data!N589&gt;1, Raw_Data!N589/100, Raw_Data!N589)), 0)</f>
        <v>0</v>
      </c>
      <c r="F593" s="15">
        <f>IFERROR(VALUE(Raw_Data!O589), Raw_Data!L589*Raw_Data!M589)</f>
        <v>4329</v>
      </c>
    </row>
    <row r="594" spans="2:6" x14ac:dyDescent="0.35">
      <c r="B594" s="13" t="s">
        <v>279</v>
      </c>
      <c r="C594" s="15" t="str">
        <f t="shared" si="9"/>
        <v>Sana Malik</v>
      </c>
      <c r="D594" s="17">
        <v>0</v>
      </c>
      <c r="E594" s="15">
        <f>IFERROR(IF(Raw_Data!N590="", 0, IF(Raw_Data!N590&gt;1, Raw_Data!N590/100, Raw_Data!N590)), 0)</f>
        <v>0</v>
      </c>
      <c r="F594" s="15">
        <f>IFERROR(VALUE(Raw_Data!O590), Raw_Data!L590*Raw_Data!M590)</f>
        <v>304.33999999999997</v>
      </c>
    </row>
    <row r="595" spans="2:6" x14ac:dyDescent="0.35">
      <c r="B595" s="13" t="s">
        <v>457</v>
      </c>
      <c r="C595" s="15" t="str">
        <f t="shared" si="9"/>
        <v>Adeel Iqbal</v>
      </c>
      <c r="D595" s="17">
        <v>0</v>
      </c>
      <c r="E595" s="15">
        <f>IFERROR(IF(Raw_Data!N591="", 0, IF(Raw_Data!N591&gt;1, Raw_Data!N591/100, Raw_Data!N591)), 0)</f>
        <v>0</v>
      </c>
      <c r="F595" s="15">
        <f>IFERROR(VALUE(Raw_Data!O591), Raw_Data!L591*Raw_Data!M591)</f>
        <v>1789.95</v>
      </c>
    </row>
    <row r="596" spans="2:6" x14ac:dyDescent="0.35">
      <c r="B596" s="13" t="s">
        <v>269</v>
      </c>
      <c r="C596" s="15" t="str">
        <f t="shared" si="9"/>
        <v>Imran Khan</v>
      </c>
      <c r="D596" s="17">
        <v>0</v>
      </c>
      <c r="E596" s="15">
        <f>IFERROR(IF(Raw_Data!N592="", 0, IF(Raw_Data!N592&gt;1, Raw_Data!N592/100, Raw_Data!N592)), 0)</f>
        <v>0</v>
      </c>
      <c r="F596" s="15">
        <f>IFERROR(VALUE(Raw_Data!O592), Raw_Data!L592*Raw_Data!M592)</f>
        <v>277.27</v>
      </c>
    </row>
    <row r="597" spans="2:6" x14ac:dyDescent="0.35">
      <c r="B597" s="13" t="s">
        <v>770</v>
      </c>
      <c r="C597" s="15" t="str">
        <f t="shared" si="9"/>
        <v>Mahnoor Farooq</v>
      </c>
      <c r="D597" s="17">
        <v>10</v>
      </c>
      <c r="E597" s="15">
        <f>IFERROR(IF(Raw_Data!N593="", 0, IF(Raw_Data!N593&gt;1, Raw_Data!N593/100, Raw_Data!N593)), 0)</f>
        <v>0.1</v>
      </c>
      <c r="F597" s="15">
        <f>IFERROR(VALUE(Raw_Data!O593), Raw_Data!L593*Raw_Data!M593)</f>
        <v>1947.84</v>
      </c>
    </row>
    <row r="598" spans="2:6" x14ac:dyDescent="0.35">
      <c r="B598" s="13" t="s">
        <v>535</v>
      </c>
      <c r="C598" s="15" t="str">
        <f t="shared" si="9"/>
        <v>Nida Ansari</v>
      </c>
      <c r="D598" s="17">
        <v>0</v>
      </c>
      <c r="E598" s="15">
        <f>IFERROR(IF(Raw_Data!N594="", 0, IF(Raw_Data!N594&gt;1, Raw_Data!N594/100, Raw_Data!N594)), 0)</f>
        <v>0</v>
      </c>
      <c r="F598" s="15">
        <f>IFERROR(VALUE(Raw_Data!O594), Raw_Data!L594*Raw_Data!M594)</f>
        <v>1484.2</v>
      </c>
    </row>
    <row r="599" spans="2:6" x14ac:dyDescent="0.35">
      <c r="B599" s="13" t="s">
        <v>781</v>
      </c>
      <c r="C599" s="15" t="str">
        <f t="shared" si="9"/>
        <v>Tariq Sheikh</v>
      </c>
      <c r="D599" s="17">
        <v>0.1</v>
      </c>
      <c r="E599" s="15">
        <f>IFERROR(IF(Raw_Data!N595="", 0, IF(Raw_Data!N595&gt;1, Raw_Data!N595/100, Raw_Data!N595)), 0)</f>
        <v>0.1</v>
      </c>
      <c r="F599" s="15">
        <f>IFERROR(VALUE(Raw_Data!O595), Raw_Data!L595*Raw_Data!M595)</f>
        <v>4317.18</v>
      </c>
    </row>
    <row r="600" spans="2:6" x14ac:dyDescent="0.35">
      <c r="B600" s="13" t="s">
        <v>455</v>
      </c>
      <c r="C600" s="15" t="str">
        <f t="shared" si="9"/>
        <v>Ali Sheikh</v>
      </c>
      <c r="D600" s="17">
        <v>0.2</v>
      </c>
      <c r="E600" s="15">
        <f>IFERROR(IF(Raw_Data!N596="", 0, IF(Raw_Data!N596&gt;1, Raw_Data!N596/100, Raw_Data!N596)), 0)</f>
        <v>0.2</v>
      </c>
      <c r="F600" s="15">
        <f>IFERROR(VALUE(Raw_Data!O596), Raw_Data!L596*Raw_Data!M596)</f>
        <v>1435.94</v>
      </c>
    </row>
    <row r="601" spans="2:6" x14ac:dyDescent="0.35">
      <c r="B601" s="13" t="s">
        <v>272</v>
      </c>
      <c r="C601" s="15" t="str">
        <f t="shared" si="9"/>
        <v>Imran Raza</v>
      </c>
      <c r="D601" s="17">
        <v>0.3</v>
      </c>
      <c r="E601" s="15">
        <f>IFERROR(IF(Raw_Data!N597="", 0, IF(Raw_Data!N597&gt;1, Raw_Data!N597/100, Raw_Data!N597)), 0)</f>
        <v>0.3</v>
      </c>
      <c r="F601" s="15">
        <f>IFERROR(VALUE(Raw_Data!O597), Raw_Data!L597*Raw_Data!M597)</f>
        <v>610.28</v>
      </c>
    </row>
    <row r="602" spans="2:6" x14ac:dyDescent="0.35">
      <c r="B602" s="13" t="s">
        <v>60</v>
      </c>
      <c r="C602" s="15" t="str">
        <f t="shared" si="9"/>
        <v>Imran Sheikh</v>
      </c>
      <c r="D602" s="17">
        <v>0</v>
      </c>
      <c r="E602" s="15">
        <f>IFERROR(IF(Raw_Data!N598="", 0, IF(Raw_Data!N598&gt;1, Raw_Data!N598/100, Raw_Data!N598)), 0)</f>
        <v>0</v>
      </c>
      <c r="F602" s="15">
        <f>IFERROR(VALUE(Raw_Data!O598), Raw_Data!L598*Raw_Data!M598)</f>
        <v>2124.69</v>
      </c>
    </row>
    <row r="603" spans="2:6" x14ac:dyDescent="0.35">
      <c r="B603" s="13" t="s">
        <v>913</v>
      </c>
      <c r="C603" s="15" t="str">
        <f t="shared" si="9"/>
        <v>Faisal Khan</v>
      </c>
      <c r="D603" s="17">
        <v>0.1</v>
      </c>
      <c r="E603" s="15">
        <f>IFERROR(IF(Raw_Data!N599="", 0, IF(Raw_Data!N599&gt;1, Raw_Data!N599/100, Raw_Data!N599)), 0)</f>
        <v>0.1</v>
      </c>
      <c r="F603" s="15">
        <f>IFERROR(VALUE(Raw_Data!O599), Raw_Data!L599*Raw_Data!M599)</f>
        <v>902.61</v>
      </c>
    </row>
    <row r="604" spans="2:6" x14ac:dyDescent="0.35">
      <c r="B604" s="13" t="s">
        <v>617</v>
      </c>
      <c r="C604" s="15" t="str">
        <f t="shared" si="9"/>
        <v>Nida Qureshi</v>
      </c>
      <c r="D604" s="17">
        <v>0</v>
      </c>
      <c r="E604" s="15">
        <f>IFERROR(IF(Raw_Data!N600="", 0, IF(Raw_Data!N600&gt;1, Raw_Data!N600/100, Raw_Data!N600)), 0)</f>
        <v>0</v>
      </c>
      <c r="F604" s="15">
        <f>IFERROR(VALUE(Raw_Data!O600), Raw_Data!L600*Raw_Data!M600)</f>
        <v>268.64</v>
      </c>
    </row>
    <row r="605" spans="2:6" x14ac:dyDescent="0.35">
      <c r="B605" s="13" t="s">
        <v>570</v>
      </c>
      <c r="C605" s="15" t="str">
        <f t="shared" si="9"/>
        <v>Tariq Raza</v>
      </c>
      <c r="D605" s="17">
        <v>0.2</v>
      </c>
      <c r="E605" s="15">
        <f>IFERROR(IF(Raw_Data!N601="", 0, IF(Raw_Data!N601&gt;1, Raw_Data!N601/100, Raw_Data!N601)), 0)</f>
        <v>0.2</v>
      </c>
      <c r="F605" s="15">
        <f>IFERROR(VALUE(Raw_Data!O601), Raw_Data!L601*Raw_Data!M601)</f>
        <v>4738.32</v>
      </c>
    </row>
    <row r="606" spans="2:6" x14ac:dyDescent="0.35">
      <c r="B606" s="13" t="s">
        <v>342</v>
      </c>
      <c r="C606" s="15" t="str">
        <f t="shared" si="9"/>
        <v>Hassan Chaudhry</v>
      </c>
      <c r="D606" s="17">
        <v>0.2</v>
      </c>
      <c r="E606" s="15">
        <f>IFERROR(IF(Raw_Data!N602="", 0, IF(Raw_Data!N602&gt;1, Raw_Data!N602/100, Raw_Data!N602)), 0)</f>
        <v>0.2</v>
      </c>
      <c r="F606" s="15">
        <f>IFERROR(VALUE(Raw_Data!O602), Raw_Data!L602*Raw_Data!M602)</f>
        <v>5332</v>
      </c>
    </row>
    <row r="607" spans="2:6" x14ac:dyDescent="0.35">
      <c r="B607" s="13" t="s">
        <v>173</v>
      </c>
      <c r="C607" s="15" t="str">
        <f t="shared" si="9"/>
        <v>Ayesha Ansari</v>
      </c>
      <c r="D607" s="17">
        <v>0</v>
      </c>
      <c r="E607" s="15">
        <f>IFERROR(IF(Raw_Data!N603="", 0, IF(Raw_Data!N603&gt;1, Raw_Data!N603/100, Raw_Data!N603)), 0)</f>
        <v>0</v>
      </c>
      <c r="F607" s="15">
        <f>IFERROR(VALUE(Raw_Data!O603), Raw_Data!L603*Raw_Data!M603)</f>
        <v>615.64</v>
      </c>
    </row>
    <row r="608" spans="2:6" x14ac:dyDescent="0.35">
      <c r="B608" s="13" t="s">
        <v>34</v>
      </c>
      <c r="C608" s="15" t="str">
        <f t="shared" si="9"/>
        <v>Zara Iqbal</v>
      </c>
      <c r="D608" s="17">
        <v>0.1</v>
      </c>
      <c r="E608" s="15">
        <f>IFERROR(IF(Raw_Data!N604="", 0, IF(Raw_Data!N604&gt;1, Raw_Data!N604/100, Raw_Data!N604)), 0)</f>
        <v>0.1</v>
      </c>
      <c r="F608" s="15">
        <f>IFERROR(VALUE(Raw_Data!O604), Raw_Data!L604*Raw_Data!M604)</f>
        <v>5370.19</v>
      </c>
    </row>
    <row r="609" spans="2:6" x14ac:dyDescent="0.35">
      <c r="B609" s="13" t="s">
        <v>274</v>
      </c>
      <c r="C609" s="15" t="str">
        <f t="shared" si="9"/>
        <v>Mahnoor Butt</v>
      </c>
      <c r="D609" s="17">
        <v>0.2</v>
      </c>
      <c r="E609" s="15">
        <f>IFERROR(IF(Raw_Data!N605="", 0, IF(Raw_Data!N605&gt;1, Raw_Data!N605/100, Raw_Data!N605)), 0)</f>
        <v>0.2</v>
      </c>
      <c r="F609" s="15">
        <f>IFERROR(VALUE(Raw_Data!O605), Raw_Data!L605*Raw_Data!M605)</f>
        <v>1607.32</v>
      </c>
    </row>
    <row r="610" spans="2:6" x14ac:dyDescent="0.35">
      <c r="B610" s="13" t="s">
        <v>122</v>
      </c>
      <c r="C610" s="15" t="str">
        <f t="shared" si="9"/>
        <v>Hina Malik</v>
      </c>
      <c r="D610" s="17">
        <v>0.1</v>
      </c>
      <c r="E610" s="15">
        <f>IFERROR(IF(Raw_Data!N606="", 0, IF(Raw_Data!N606&gt;1, Raw_Data!N606/100, Raw_Data!N606)), 0)</f>
        <v>0.1</v>
      </c>
      <c r="F610" s="15">
        <f>IFERROR(VALUE(Raw_Data!O606), Raw_Data!L606*Raw_Data!M606)</f>
        <v>518.01</v>
      </c>
    </row>
    <row r="611" spans="2:6" x14ac:dyDescent="0.35">
      <c r="B611" s="13" t="s">
        <v>410</v>
      </c>
      <c r="C611" s="15" t="str">
        <f t="shared" si="9"/>
        <v>Hassan Farooq</v>
      </c>
      <c r="D611" s="17">
        <v>0.1</v>
      </c>
      <c r="E611" s="15">
        <f>IFERROR(IF(Raw_Data!N607="", 0, IF(Raw_Data!N607&gt;1, Raw_Data!N607/100, Raw_Data!N607)), 0)</f>
        <v>0.1</v>
      </c>
      <c r="F611" s="15">
        <f>IFERROR(VALUE(Raw_Data!O607), Raw_Data!L607*Raw_Data!M607)</f>
        <v>761.88</v>
      </c>
    </row>
    <row r="612" spans="2:6" x14ac:dyDescent="0.35">
      <c r="B612" s="13" t="s">
        <v>435</v>
      </c>
      <c r="C612" s="15" t="str">
        <f t="shared" si="9"/>
        <v>Ali Chaudhry</v>
      </c>
      <c r="D612" s="17">
        <v>0.15</v>
      </c>
      <c r="E612" s="15">
        <f>IFERROR(IF(Raw_Data!N608="", 0, IF(Raw_Data!N608&gt;1, Raw_Data!N608/100, Raw_Data!N608)), 0)</f>
        <v>0.15</v>
      </c>
      <c r="F612" s="15">
        <f>IFERROR(VALUE(Raw_Data!O608), Raw_Data!L608*Raw_Data!M608)</f>
        <v>4727.2</v>
      </c>
    </row>
    <row r="613" spans="2:6" x14ac:dyDescent="0.35">
      <c r="B613" s="13" t="s">
        <v>1367</v>
      </c>
      <c r="C613" s="15" t="str">
        <f t="shared" si="9"/>
        <v>Faisal Raza</v>
      </c>
      <c r="D613" s="17">
        <v>0</v>
      </c>
      <c r="E613" s="15">
        <f>IFERROR(IF(Raw_Data!N609="", 0, IF(Raw_Data!N609&gt;1, Raw_Data!N609/100, Raw_Data!N609)), 0)</f>
        <v>0</v>
      </c>
      <c r="F613" s="15">
        <f>IFERROR(VALUE(Raw_Data!O609), Raw_Data!L609*Raw_Data!M609)</f>
        <v>596.80999999999995</v>
      </c>
    </row>
    <row r="614" spans="2:6" x14ac:dyDescent="0.35">
      <c r="B614" s="13" t="s">
        <v>122</v>
      </c>
      <c r="C614" s="15" t="str">
        <f t="shared" si="9"/>
        <v>Hina Malik</v>
      </c>
      <c r="D614" s="17">
        <v>0</v>
      </c>
      <c r="E614" s="15">
        <f>IFERROR(IF(Raw_Data!N610="", 0, IF(Raw_Data!N610&gt;1, Raw_Data!N610/100, Raw_Data!N610)), 0)</f>
        <v>0</v>
      </c>
      <c r="F614" s="15">
        <f>IFERROR(VALUE(Raw_Data!O610), Raw_Data!L610*Raw_Data!M610)</f>
        <v>5375.92</v>
      </c>
    </row>
    <row r="615" spans="2:6" x14ac:dyDescent="0.35">
      <c r="B615" s="13" t="s">
        <v>316</v>
      </c>
      <c r="C615" s="15" t="str">
        <f t="shared" si="9"/>
        <v>Ali Farooq</v>
      </c>
      <c r="D615" s="17">
        <v>0.1</v>
      </c>
      <c r="E615" s="15">
        <f>IFERROR(IF(Raw_Data!N611="", 0, IF(Raw_Data!N611&gt;1, Raw_Data!N611/100, Raw_Data!N611)), 0)</f>
        <v>0.1</v>
      </c>
      <c r="F615" s="15">
        <f>IFERROR(VALUE(Raw_Data!O611), Raw_Data!L611*Raw_Data!M611)</f>
        <v>5237.75</v>
      </c>
    </row>
    <row r="616" spans="2:6" x14ac:dyDescent="0.35">
      <c r="B616" s="13" t="s">
        <v>576</v>
      </c>
      <c r="C616" s="15" t="str">
        <f t="shared" si="9"/>
        <v>Rabia Sheikh</v>
      </c>
      <c r="D616" s="17">
        <v>0.15</v>
      </c>
      <c r="E616" s="15">
        <f>IFERROR(IF(Raw_Data!N612="", 0, IF(Raw_Data!N612&gt;1, Raw_Data!N612/100, Raw_Data!N612)), 0)</f>
        <v>0.15</v>
      </c>
      <c r="F616" s="15">
        <f>IFERROR(VALUE(Raw_Data!O612), Raw_Data!L612*Raw_Data!M612)</f>
        <v>68.11</v>
      </c>
    </row>
    <row r="617" spans="2:6" x14ac:dyDescent="0.35">
      <c r="B617" s="13" t="s">
        <v>873</v>
      </c>
      <c r="C617" s="15" t="str">
        <f t="shared" si="9"/>
        <v>Omar Iqbal</v>
      </c>
      <c r="D617" s="17">
        <v>0.15</v>
      </c>
      <c r="E617" s="15">
        <f>IFERROR(IF(Raw_Data!N613="", 0, IF(Raw_Data!N613&gt;1, Raw_Data!N613/100, Raw_Data!N613)), 0)</f>
        <v>0.15</v>
      </c>
      <c r="F617" s="15">
        <f>IFERROR(VALUE(Raw_Data!O613), Raw_Data!L613*Raw_Data!M613)</f>
        <v>3148.8</v>
      </c>
    </row>
    <row r="618" spans="2:6" x14ac:dyDescent="0.35">
      <c r="B618" s="13" t="s">
        <v>457</v>
      </c>
      <c r="C618" s="15" t="str">
        <f t="shared" si="9"/>
        <v>Adeel Iqbal</v>
      </c>
      <c r="D618" s="17">
        <v>0.15</v>
      </c>
      <c r="E618" s="15">
        <f>IFERROR(IF(Raw_Data!N614="", 0, IF(Raw_Data!N614&gt;1, Raw_Data!N614/100, Raw_Data!N614)), 0)</f>
        <v>0.15</v>
      </c>
      <c r="F618" s="15">
        <f>IFERROR(VALUE(Raw_Data!O614), Raw_Data!L614*Raw_Data!M614)</f>
        <v>1659.2</v>
      </c>
    </row>
    <row r="619" spans="2:6" x14ac:dyDescent="0.35">
      <c r="B619" s="13" t="s">
        <v>450</v>
      </c>
      <c r="C619" s="15" t="str">
        <f t="shared" si="9"/>
        <v>Bilal Ansari</v>
      </c>
      <c r="D619" s="17">
        <v>0.1</v>
      </c>
      <c r="E619" s="15">
        <f>IFERROR(IF(Raw_Data!N615="", 0, IF(Raw_Data!N615&gt;1, Raw_Data!N615/100, Raw_Data!N615)), 0)</f>
        <v>0.1</v>
      </c>
      <c r="F619" s="15">
        <f>IFERROR(VALUE(Raw_Data!O615), Raw_Data!L615*Raw_Data!M615)</f>
        <v>391.5</v>
      </c>
    </row>
    <row r="620" spans="2:6" x14ac:dyDescent="0.35">
      <c r="B620" s="13" t="s">
        <v>408</v>
      </c>
      <c r="C620" s="15" t="str">
        <f t="shared" si="9"/>
        <v>Sara Iqbal</v>
      </c>
      <c r="D620" s="17">
        <v>0</v>
      </c>
      <c r="E620" s="15">
        <f>IFERROR(IF(Raw_Data!N616="", 0, IF(Raw_Data!N616&gt;1, Raw_Data!N616/100, Raw_Data!N616)), 0)</f>
        <v>0</v>
      </c>
      <c r="F620" s="15">
        <f>IFERROR(VALUE(Raw_Data!O616), Raw_Data!L616*Raw_Data!M616)</f>
        <v>3199</v>
      </c>
    </row>
    <row r="621" spans="2:6" x14ac:dyDescent="0.35">
      <c r="B621" s="13" t="s">
        <v>523</v>
      </c>
      <c r="C621" s="15" t="str">
        <f t="shared" si="9"/>
        <v>Ahmed Butt</v>
      </c>
      <c r="D621" s="17">
        <v>0.3</v>
      </c>
      <c r="E621" s="15">
        <f>IFERROR(IF(Raw_Data!N617="", 0, IF(Raw_Data!N617&gt;1, Raw_Data!N617/100, Raw_Data!N617)), 0)</f>
        <v>0.3</v>
      </c>
      <c r="F621" s="15">
        <f>IFERROR(VALUE(Raw_Data!O617), Raw_Data!L617*Raw_Data!M617)</f>
        <v>2078.4</v>
      </c>
    </row>
    <row r="622" spans="2:6" x14ac:dyDescent="0.35">
      <c r="B622" s="13" t="s">
        <v>406</v>
      </c>
      <c r="C622" s="15" t="str">
        <f t="shared" si="9"/>
        <v>Ali Khan</v>
      </c>
      <c r="D622" s="17">
        <v>0</v>
      </c>
      <c r="E622" s="15">
        <f>IFERROR(IF(Raw_Data!N618="", 0, IF(Raw_Data!N618&gt;1, Raw_Data!N618/100, Raw_Data!N618)), 0)</f>
        <v>0</v>
      </c>
      <c r="F622" s="15">
        <f>IFERROR(VALUE(Raw_Data!O618), Raw_Data!L618*Raw_Data!M618)</f>
        <v>2735.52</v>
      </c>
    </row>
    <row r="623" spans="2:6" x14ac:dyDescent="0.35">
      <c r="B623" s="13" t="s">
        <v>98</v>
      </c>
      <c r="C623" s="15" t="str">
        <f t="shared" si="9"/>
        <v>Sana Ansari</v>
      </c>
      <c r="D623" s="17">
        <v>0.15</v>
      </c>
      <c r="E623" s="15">
        <f>IFERROR(IF(Raw_Data!N619="", 0, IF(Raw_Data!N619&gt;1, Raw_Data!N619/100, Raw_Data!N619)), 0)</f>
        <v>0.15</v>
      </c>
      <c r="F623" s="15">
        <f>IFERROR(VALUE(Raw_Data!O619), Raw_Data!L619*Raw_Data!M619)</f>
        <v>3945.6</v>
      </c>
    </row>
    <row r="624" spans="2:6" x14ac:dyDescent="0.35">
      <c r="B624" s="13" t="s">
        <v>381</v>
      </c>
      <c r="C624" s="15" t="str">
        <f t="shared" si="9"/>
        <v>Usman Malik</v>
      </c>
      <c r="D624" s="17">
        <v>0.3</v>
      </c>
      <c r="E624" s="15">
        <f>IFERROR(IF(Raw_Data!N620="", 0, IF(Raw_Data!N620&gt;1, Raw_Data!N620/100, Raw_Data!N620)), 0)</f>
        <v>0.3</v>
      </c>
      <c r="F624" s="15">
        <f>IFERROR(VALUE(Raw_Data!O620), Raw_Data!L620*Raw_Data!M620)</f>
        <v>507.28</v>
      </c>
    </row>
    <row r="625" spans="2:6" x14ac:dyDescent="0.35">
      <c r="B625" s="13" t="s">
        <v>442</v>
      </c>
      <c r="C625" s="15" t="str">
        <f t="shared" si="9"/>
        <v>Kamran Iqbal</v>
      </c>
      <c r="D625" s="17">
        <v>0</v>
      </c>
      <c r="E625" s="15">
        <f>IFERROR(IF(Raw_Data!N621="", 0, IF(Raw_Data!N621&gt;1, Raw_Data!N621/100, Raw_Data!N621)), 0)</f>
        <v>0</v>
      </c>
      <c r="F625" s="15">
        <f>IFERROR(VALUE(Raw_Data!O621), Raw_Data!L621*Raw_Data!M621)</f>
        <v>1031.94</v>
      </c>
    </row>
    <row r="626" spans="2:6" x14ac:dyDescent="0.35">
      <c r="B626" s="13" t="s">
        <v>233</v>
      </c>
      <c r="C626" s="15" t="str">
        <f t="shared" si="9"/>
        <v>Omar Sheikh</v>
      </c>
      <c r="D626" s="17">
        <v>0.1</v>
      </c>
      <c r="E626" s="15">
        <f>IFERROR(IF(Raw_Data!N622="", 0, IF(Raw_Data!N622&gt;1, Raw_Data!N622/100, Raw_Data!N622)), 0)</f>
        <v>0.1</v>
      </c>
      <c r="F626" s="15">
        <f>IFERROR(VALUE(Raw_Data!O622), Raw_Data!L622*Raw_Data!M622)</f>
        <v>2676.92</v>
      </c>
    </row>
    <row r="627" spans="2:6" x14ac:dyDescent="0.35">
      <c r="B627" s="13" t="s">
        <v>631</v>
      </c>
      <c r="C627" s="15" t="str">
        <f t="shared" si="9"/>
        <v>Tariq Khan</v>
      </c>
      <c r="D627" s="17">
        <v>0</v>
      </c>
      <c r="E627" s="15">
        <f>IFERROR(IF(Raw_Data!N623="", 0, IF(Raw_Data!N623&gt;1, Raw_Data!N623/100, Raw_Data!N623)), 0)</f>
        <v>0</v>
      </c>
      <c r="F627" s="15">
        <f>IFERROR(VALUE(Raw_Data!O623), Raw_Data!L623*Raw_Data!M623)</f>
        <v>4800.24</v>
      </c>
    </row>
    <row r="628" spans="2:6" x14ac:dyDescent="0.35">
      <c r="B628" s="13" t="s">
        <v>312</v>
      </c>
      <c r="C628" s="15" t="str">
        <f t="shared" si="9"/>
        <v>Usman Chaudhry</v>
      </c>
      <c r="D628" s="17">
        <v>0.15</v>
      </c>
      <c r="E628" s="15">
        <f>IFERROR(IF(Raw_Data!N624="", 0, IF(Raw_Data!N624&gt;1, Raw_Data!N624/100, Raw_Data!N624)), 0)</f>
        <v>0.15</v>
      </c>
      <c r="F628" s="15">
        <f>IFERROR(VALUE(Raw_Data!O624), Raw_Data!L624*Raw_Data!M624)</f>
        <v>250.99</v>
      </c>
    </row>
    <row r="629" spans="2:6" x14ac:dyDescent="0.35">
      <c r="B629" s="13" t="s">
        <v>784</v>
      </c>
      <c r="C629" s="15" t="str">
        <f t="shared" si="9"/>
        <v>Faisal Chaudhry</v>
      </c>
      <c r="D629" s="17">
        <v>0</v>
      </c>
      <c r="E629" s="15">
        <f>IFERROR(IF(Raw_Data!N625="", 0, IF(Raw_Data!N625&gt;1, Raw_Data!N625/100, Raw_Data!N625)), 0)</f>
        <v>0</v>
      </c>
      <c r="F629" s="15">
        <f>IFERROR(VALUE(Raw_Data!O625), Raw_Data!L625*Raw_Data!M625)</f>
        <v>4477.3</v>
      </c>
    </row>
    <row r="630" spans="2:6" x14ac:dyDescent="0.35">
      <c r="B630" s="13" t="s">
        <v>941</v>
      </c>
      <c r="C630" s="15" t="str">
        <f t="shared" si="9"/>
        <v>Ayesha Khan</v>
      </c>
      <c r="D630" s="17">
        <v>0.2</v>
      </c>
      <c r="E630" s="15">
        <f>IFERROR(IF(Raw_Data!N626="", 0, IF(Raw_Data!N626&gt;1, Raw_Data!N626/100, Raw_Data!N626)), 0)</f>
        <v>0.2</v>
      </c>
      <c r="F630" s="15">
        <f>IFERROR(VALUE(Raw_Data!O626), Raw_Data!L626*Raw_Data!M626)</f>
        <v>1559.1</v>
      </c>
    </row>
    <row r="631" spans="2:6" x14ac:dyDescent="0.35">
      <c r="B631" s="13" t="s">
        <v>180</v>
      </c>
      <c r="C631" s="15" t="str">
        <f t="shared" si="9"/>
        <v>Faisal Butt</v>
      </c>
      <c r="D631" s="17">
        <v>0.2</v>
      </c>
      <c r="E631" s="15">
        <f>IFERROR(IF(Raw_Data!N627="", 0, IF(Raw_Data!N627&gt;1, Raw_Data!N627/100, Raw_Data!N627)), 0)</f>
        <v>0.2</v>
      </c>
      <c r="F631" s="15">
        <f>IFERROR(VALUE(Raw_Data!O627), Raw_Data!L627*Raw_Data!M627)</f>
        <v>1686.33</v>
      </c>
    </row>
    <row r="632" spans="2:6" x14ac:dyDescent="0.35">
      <c r="B632" s="13" t="s">
        <v>640</v>
      </c>
      <c r="C632" s="15" t="str">
        <f t="shared" si="9"/>
        <v>Rabia Iqbal</v>
      </c>
      <c r="D632" s="17">
        <v>0</v>
      </c>
      <c r="E632" s="15">
        <f>IFERROR(IF(Raw_Data!N628="", 0, IF(Raw_Data!N628&gt;1, Raw_Data!N628/100, Raw_Data!N628)), 0)</f>
        <v>0</v>
      </c>
      <c r="F632" s="15">
        <f>IFERROR(VALUE(Raw_Data!O628), Raw_Data!L628*Raw_Data!M628)</f>
        <v>4290.16</v>
      </c>
    </row>
    <row r="633" spans="2:6" x14ac:dyDescent="0.35">
      <c r="B633" s="13" t="s">
        <v>255</v>
      </c>
      <c r="C633" s="15" t="str">
        <f t="shared" si="9"/>
        <v>Tariq Ansari</v>
      </c>
      <c r="D633" s="17">
        <v>0.15</v>
      </c>
      <c r="E633" s="15">
        <f>IFERROR(IF(Raw_Data!N629="", 0, IF(Raw_Data!N629&gt;1, Raw_Data!N629/100, Raw_Data!N629)), 0)</f>
        <v>0.15</v>
      </c>
      <c r="F633" s="15">
        <f>IFERROR(VALUE(Raw_Data!O629), Raw_Data!L629*Raw_Data!M629)</f>
        <v>3980.34</v>
      </c>
    </row>
    <row r="634" spans="2:6" x14ac:dyDescent="0.35">
      <c r="B634" s="13" t="s">
        <v>693</v>
      </c>
      <c r="C634" s="15" t="str">
        <f t="shared" si="9"/>
        <v>Adeel Raza</v>
      </c>
      <c r="D634" s="17">
        <v>0.1</v>
      </c>
      <c r="E634" s="15">
        <f>IFERROR(IF(Raw_Data!N630="", 0, IF(Raw_Data!N630&gt;1, Raw_Data!N630/100, Raw_Data!N630)), 0)</f>
        <v>0.1</v>
      </c>
      <c r="F634" s="15">
        <f>IFERROR(VALUE(Raw_Data!O630), Raw_Data!L630*Raw_Data!M630)</f>
        <v>957.34</v>
      </c>
    </row>
    <row r="635" spans="2:6" x14ac:dyDescent="0.35">
      <c r="B635" s="13" t="s">
        <v>637</v>
      </c>
      <c r="C635" s="15" t="str">
        <f t="shared" si="9"/>
        <v>Ayesha Iqbal</v>
      </c>
      <c r="D635" s="17">
        <v>0</v>
      </c>
      <c r="E635" s="15">
        <f>IFERROR(IF(Raw_Data!N631="", 0, IF(Raw_Data!N631&gt;1, Raw_Data!N631/100, Raw_Data!N631)), 0)</f>
        <v>0</v>
      </c>
      <c r="F635" s="15">
        <f>IFERROR(VALUE(Raw_Data!O631), Raw_Data!L631*Raw_Data!M631)</f>
        <v>3582.72</v>
      </c>
    </row>
    <row r="636" spans="2:6" x14ac:dyDescent="0.35">
      <c r="B636" s="13" t="s">
        <v>435</v>
      </c>
      <c r="C636" s="15" t="str">
        <f t="shared" si="9"/>
        <v>Ali Chaudhry</v>
      </c>
      <c r="D636" s="17">
        <v>0.15</v>
      </c>
      <c r="E636" s="15">
        <f>IFERROR(IF(Raw_Data!N632="", 0, IF(Raw_Data!N632&gt;1, Raw_Data!N632/100, Raw_Data!N632)), 0)</f>
        <v>0.15</v>
      </c>
      <c r="F636" s="15">
        <f>IFERROR(VALUE(Raw_Data!O632), Raw_Data!L632*Raw_Data!M632)</f>
        <v>2301.27</v>
      </c>
    </row>
    <row r="637" spans="2:6" x14ac:dyDescent="0.35">
      <c r="B637" s="13" t="s">
        <v>285</v>
      </c>
      <c r="C637" s="15" t="str">
        <f t="shared" si="9"/>
        <v>Adeel Chaudhry</v>
      </c>
      <c r="D637" s="17">
        <v>0.2</v>
      </c>
      <c r="E637" s="15">
        <f>IFERROR(IF(Raw_Data!N633="", 0, IF(Raw_Data!N633&gt;1, Raw_Data!N633/100, Raw_Data!N633)), 0)</f>
        <v>0.2</v>
      </c>
      <c r="F637" s="15">
        <f>IFERROR(VALUE(Raw_Data!O633), Raw_Data!L633*Raw_Data!M633)</f>
        <v>1529.1</v>
      </c>
    </row>
    <row r="638" spans="2:6" x14ac:dyDescent="0.35">
      <c r="B638" s="13" t="s">
        <v>651</v>
      </c>
      <c r="C638" s="15" t="str">
        <f t="shared" si="9"/>
        <v>Usman Raza</v>
      </c>
      <c r="D638" s="17">
        <v>0.2</v>
      </c>
      <c r="E638" s="15">
        <f>IFERROR(IF(Raw_Data!N634="", 0, IF(Raw_Data!N634&gt;1, Raw_Data!N634/100, Raw_Data!N634)), 0)</f>
        <v>0.2</v>
      </c>
      <c r="F638" s="15">
        <f>IFERROR(VALUE(Raw_Data!O634), Raw_Data!L634*Raw_Data!M634)</f>
        <v>4467.3599999999997</v>
      </c>
    </row>
    <row r="639" spans="2:6" x14ac:dyDescent="0.35">
      <c r="B639" s="13" t="s">
        <v>951</v>
      </c>
      <c r="C639" s="15" t="str">
        <f t="shared" si="9"/>
        <v>Hassan Iqbal</v>
      </c>
      <c r="D639" s="17">
        <v>0</v>
      </c>
      <c r="E639" s="15">
        <f>IFERROR(IF(Raw_Data!N635="", 0, IF(Raw_Data!N635&gt;1, Raw_Data!N635/100, Raw_Data!N635)), 0)</f>
        <v>0</v>
      </c>
      <c r="F639" s="15">
        <f>IFERROR(VALUE(Raw_Data!O635), Raw_Data!L635*Raw_Data!M635)</f>
        <v>2601.64</v>
      </c>
    </row>
    <row r="640" spans="2:6" x14ac:dyDescent="0.35">
      <c r="B640" s="13" t="s">
        <v>681</v>
      </c>
      <c r="C640" s="15" t="str">
        <f t="shared" si="9"/>
        <v>Fatima Farooq</v>
      </c>
      <c r="D640" s="17">
        <v>0.2</v>
      </c>
      <c r="E640" s="15">
        <f>IFERROR(IF(Raw_Data!N636="", 0, IF(Raw_Data!N636&gt;1, Raw_Data!N636/100, Raw_Data!N636)), 0)</f>
        <v>0.2</v>
      </c>
      <c r="F640" s="15">
        <f>IFERROR(VALUE(Raw_Data!O636), Raw_Data!L636*Raw_Data!M636)</f>
        <v>2204.4</v>
      </c>
    </row>
    <row r="641" spans="2:6" x14ac:dyDescent="0.35">
      <c r="B641" s="13" t="s">
        <v>135</v>
      </c>
      <c r="C641" s="15" t="str">
        <f t="shared" si="9"/>
        <v>Adeel Malik</v>
      </c>
      <c r="D641" s="17">
        <v>0.3</v>
      </c>
      <c r="E641" s="15">
        <f>IFERROR(IF(Raw_Data!N637="", 0, IF(Raw_Data!N637&gt;1, Raw_Data!N637/100, Raw_Data!N637)), 0)</f>
        <v>0.3</v>
      </c>
      <c r="F641" s="15">
        <f>IFERROR(VALUE(Raw_Data!O637), Raw_Data!L637*Raw_Data!M637)</f>
        <v>2398.8000000000002</v>
      </c>
    </row>
    <row r="642" spans="2:6" x14ac:dyDescent="0.35">
      <c r="B642" s="13" t="s">
        <v>954</v>
      </c>
      <c r="C642" s="15" t="str">
        <f t="shared" si="9"/>
        <v>Zara Farooq</v>
      </c>
      <c r="D642" s="17">
        <v>0</v>
      </c>
      <c r="E642" s="15">
        <f>IFERROR(IF(Raw_Data!N638="", 0, IF(Raw_Data!N638&gt;1, Raw_Data!N638/100, Raw_Data!N638)), 0)</f>
        <v>0</v>
      </c>
      <c r="F642" s="15">
        <f>IFERROR(VALUE(Raw_Data!O638), Raw_Data!L638*Raw_Data!M638)</f>
        <v>1266.8699999999999</v>
      </c>
    </row>
    <row r="643" spans="2:6" x14ac:dyDescent="0.35">
      <c r="B643" s="13" t="s">
        <v>437</v>
      </c>
      <c r="C643" s="15" t="str">
        <f t="shared" si="9"/>
        <v>Bilal Raza</v>
      </c>
      <c r="D643" s="17">
        <v>0</v>
      </c>
      <c r="E643" s="15">
        <f>IFERROR(IF(Raw_Data!N639="", 0, IF(Raw_Data!N639&gt;1, Raw_Data!N639/100, Raw_Data!N639)), 0)</f>
        <v>0</v>
      </c>
      <c r="F643" s="15">
        <f>IFERROR(VALUE(Raw_Data!O639), Raw_Data!L639*Raw_Data!M639)</f>
        <v>2382.94</v>
      </c>
    </row>
    <row r="644" spans="2:6" x14ac:dyDescent="0.35">
      <c r="B644" s="13" t="s">
        <v>807</v>
      </c>
      <c r="C644" s="15" t="str">
        <f t="shared" si="9"/>
        <v>Bilal Farooq</v>
      </c>
      <c r="D644" s="17">
        <v>0</v>
      </c>
      <c r="E644" s="15">
        <f>IFERROR(IF(Raw_Data!N640="", 0, IF(Raw_Data!N640&gt;1, Raw_Data!N640/100, Raw_Data!N640)), 0)</f>
        <v>0</v>
      </c>
      <c r="F644" s="15">
        <f>IFERROR(VALUE(Raw_Data!O640), Raw_Data!L640*Raw_Data!M640)</f>
        <v>1733.97</v>
      </c>
    </row>
    <row r="645" spans="2:6" x14ac:dyDescent="0.35">
      <c r="B645" s="13" t="s">
        <v>50</v>
      </c>
      <c r="C645" s="15" t="str">
        <f t="shared" si="9"/>
        <v>Omar Raza</v>
      </c>
      <c r="D645" s="17">
        <v>0</v>
      </c>
      <c r="E645" s="15">
        <f>IFERROR(IF(Raw_Data!N641="", 0, IF(Raw_Data!N641&gt;1, Raw_Data!N641/100, Raw_Data!N641)), 0)</f>
        <v>0</v>
      </c>
      <c r="F645" s="15">
        <f>IFERROR(VALUE(Raw_Data!O641), Raw_Data!L641*Raw_Data!M641)</f>
        <v>63.63</v>
      </c>
    </row>
    <row r="646" spans="2:6" x14ac:dyDescent="0.35">
      <c r="B646" s="13" t="s">
        <v>737</v>
      </c>
      <c r="C646" s="15" t="str">
        <f t="shared" si="9"/>
        <v>Hassan Ansari</v>
      </c>
      <c r="D646" s="17">
        <v>0.3</v>
      </c>
      <c r="E646" s="15">
        <f>IFERROR(IF(Raw_Data!N642="", 0, IF(Raw_Data!N642&gt;1, Raw_Data!N642/100, Raw_Data!N642)), 0)</f>
        <v>0.3</v>
      </c>
      <c r="F646" s="15">
        <f>IFERROR(VALUE(Raw_Data!O642), Raw_Data!L642*Raw_Data!M642)</f>
        <v>1041.44</v>
      </c>
    </row>
    <row r="647" spans="2:6" x14ac:dyDescent="0.35">
      <c r="B647" s="13" t="s">
        <v>375</v>
      </c>
      <c r="C647" s="15" t="str">
        <f t="shared" ref="C647:C710" si="10">IF(OR(B647="",B647=0), "Unknown Customer", PROPER(TRIM(B647)))</f>
        <v>Sara Raza</v>
      </c>
      <c r="D647" s="17">
        <v>0</v>
      </c>
      <c r="E647" s="15">
        <f>IFERROR(IF(Raw_Data!N643="", 0, IF(Raw_Data!N643&gt;1, Raw_Data!N643/100, Raw_Data!N643)), 0)</f>
        <v>0</v>
      </c>
      <c r="F647" s="15">
        <f>IFERROR(VALUE(Raw_Data!O643), Raw_Data!L643*Raw_Data!M643)</f>
        <v>4503.96</v>
      </c>
    </row>
    <row r="648" spans="2:6" x14ac:dyDescent="0.35">
      <c r="B648" s="13" t="s">
        <v>81</v>
      </c>
      <c r="C648" s="15" t="str">
        <f t="shared" si="10"/>
        <v>Zara Butt</v>
      </c>
      <c r="D648" s="17">
        <v>0</v>
      </c>
      <c r="E648" s="15">
        <f>IFERROR(IF(Raw_Data!N644="", 0, IF(Raw_Data!N644&gt;1, Raw_Data!N644/100, Raw_Data!N644)), 0)</f>
        <v>0</v>
      </c>
      <c r="F648" s="15">
        <f>IFERROR(VALUE(Raw_Data!O644), Raw_Data!L644*Raw_Data!M644)</f>
        <v>4768.5600000000004</v>
      </c>
    </row>
    <row r="649" spans="2:6" x14ac:dyDescent="0.35">
      <c r="B649" s="13" t="s">
        <v>316</v>
      </c>
      <c r="C649" s="15" t="str">
        <f t="shared" si="10"/>
        <v>Ali Farooq</v>
      </c>
      <c r="D649" s="17">
        <v>0.1</v>
      </c>
      <c r="E649" s="15">
        <f>IFERROR(IF(Raw_Data!N645="", 0, IF(Raw_Data!N645&gt;1, Raw_Data!N645/100, Raw_Data!N645)), 0)</f>
        <v>0.1</v>
      </c>
      <c r="F649" s="15">
        <f>IFERROR(VALUE(Raw_Data!O645), Raw_Data!L645*Raw_Data!M645)</f>
        <v>1050.48</v>
      </c>
    </row>
    <row r="650" spans="2:6" x14ac:dyDescent="0.35">
      <c r="B650" s="13" t="s">
        <v>688</v>
      </c>
      <c r="C650" s="15" t="str">
        <f t="shared" si="10"/>
        <v>Hassan Raza</v>
      </c>
      <c r="D650" s="17">
        <v>0.15</v>
      </c>
      <c r="E650" s="15">
        <f>IFERROR(IF(Raw_Data!N646="", 0, IF(Raw_Data!N646&gt;1, Raw_Data!N646/100, Raw_Data!N646)), 0)</f>
        <v>0.15</v>
      </c>
      <c r="F650" s="15">
        <f>IFERROR(VALUE(Raw_Data!O646), Raw_Data!L646*Raw_Data!M646)</f>
        <v>24.61</v>
      </c>
    </row>
    <row r="651" spans="2:6" x14ac:dyDescent="0.35">
      <c r="B651" s="13" t="s">
        <v>213</v>
      </c>
      <c r="C651" s="15" t="str">
        <f t="shared" si="10"/>
        <v>Hina Iqbal</v>
      </c>
      <c r="D651" s="17">
        <v>0.3</v>
      </c>
      <c r="E651" s="15">
        <f>IFERROR(IF(Raw_Data!N647="", 0, IF(Raw_Data!N647&gt;1, Raw_Data!N647/100, Raw_Data!N647)), 0)</f>
        <v>0.3</v>
      </c>
      <c r="F651" s="15">
        <f>IFERROR(VALUE(Raw_Data!O647), Raw_Data!L647*Raw_Data!M647)</f>
        <v>1067.6400000000001</v>
      </c>
    </row>
    <row r="652" spans="2:6" x14ac:dyDescent="0.35">
      <c r="B652" s="13" t="s">
        <v>693</v>
      </c>
      <c r="C652" s="15" t="str">
        <f t="shared" si="10"/>
        <v>Adeel Raza</v>
      </c>
      <c r="D652" s="17">
        <v>0</v>
      </c>
      <c r="E652" s="15">
        <f>IFERROR(IF(Raw_Data!N648="", 0, IF(Raw_Data!N648&gt;1, Raw_Data!N648/100, Raw_Data!N648)), 0)</f>
        <v>0</v>
      </c>
      <c r="F652" s="15">
        <f>IFERROR(VALUE(Raw_Data!O648), Raw_Data!L648*Raw_Data!M648)</f>
        <v>4550.59</v>
      </c>
    </row>
    <row r="653" spans="2:6" x14ac:dyDescent="0.35">
      <c r="B653" s="13" t="s">
        <v>169</v>
      </c>
      <c r="C653" s="15" t="str">
        <f t="shared" si="10"/>
        <v>Kamran Ansari</v>
      </c>
      <c r="D653" s="17">
        <v>0.2</v>
      </c>
      <c r="E653" s="15">
        <f>IFERROR(IF(Raw_Data!N649="", 0, IF(Raw_Data!N649&gt;1, Raw_Data!N649/100, Raw_Data!N649)), 0)</f>
        <v>0.2</v>
      </c>
      <c r="F653" s="15">
        <f>IFERROR(VALUE(Raw_Data!O649), Raw_Data!L649*Raw_Data!M649)</f>
        <v>3714.69</v>
      </c>
    </row>
    <row r="654" spans="2:6" x14ac:dyDescent="0.35">
      <c r="B654" s="13" t="s">
        <v>77</v>
      </c>
      <c r="C654" s="15" t="str">
        <f t="shared" si="10"/>
        <v>Mahnoor Iqbal</v>
      </c>
      <c r="D654" s="17">
        <v>0.2</v>
      </c>
      <c r="E654" s="15">
        <f>IFERROR(IF(Raw_Data!N650="", 0, IF(Raw_Data!N650&gt;1, Raw_Data!N650/100, Raw_Data!N650)), 0)</f>
        <v>0.2</v>
      </c>
      <c r="F654" s="15">
        <f>IFERROR(VALUE(Raw_Data!O650), Raw_Data!L650*Raw_Data!M650)</f>
        <v>509.76</v>
      </c>
    </row>
    <row r="655" spans="2:6" x14ac:dyDescent="0.35">
      <c r="B655" s="13" t="s">
        <v>437</v>
      </c>
      <c r="C655" s="15" t="str">
        <f t="shared" si="10"/>
        <v>Bilal Raza</v>
      </c>
      <c r="D655" s="17">
        <v>0</v>
      </c>
      <c r="E655" s="15">
        <f>IFERROR(IF(Raw_Data!N651="", 0, IF(Raw_Data!N651&gt;1, Raw_Data!N651/100, Raw_Data!N651)), 0)</f>
        <v>0</v>
      </c>
      <c r="F655" s="15">
        <f>IFERROR(VALUE(Raw_Data!O651), Raw_Data!L651*Raw_Data!M651)</f>
        <v>4150.6499999999996</v>
      </c>
    </row>
    <row r="656" spans="2:6" x14ac:dyDescent="0.35">
      <c r="B656" s="13" t="s">
        <v>233</v>
      </c>
      <c r="C656" s="15" t="str">
        <f t="shared" si="10"/>
        <v>Omar Sheikh</v>
      </c>
      <c r="D656" s="17">
        <v>0.2</v>
      </c>
      <c r="E656" s="15">
        <f>IFERROR(IF(Raw_Data!N652="", 0, IF(Raw_Data!N652&gt;1, Raw_Data!N652/100, Raw_Data!N652)), 0)</f>
        <v>0.2</v>
      </c>
      <c r="F656" s="15">
        <f>IFERROR(VALUE(Raw_Data!O652), Raw_Data!L652*Raw_Data!M652)</f>
        <v>2972.5</v>
      </c>
    </row>
    <row r="657" spans="2:6" x14ac:dyDescent="0.35">
      <c r="B657" s="13" t="s">
        <v>303</v>
      </c>
      <c r="C657" s="15" t="str">
        <f t="shared" si="10"/>
        <v>Faisal Sheikh</v>
      </c>
      <c r="D657" s="17">
        <v>0</v>
      </c>
      <c r="E657" s="15">
        <f>IFERROR(IF(Raw_Data!N653="", 0, IF(Raw_Data!N653&gt;1, Raw_Data!N653/100, Raw_Data!N653)), 0)</f>
        <v>0</v>
      </c>
      <c r="F657" s="15">
        <f>IFERROR(VALUE(Raw_Data!O653), Raw_Data!L653*Raw_Data!M653)</f>
        <v>7459</v>
      </c>
    </row>
    <row r="658" spans="2:6" x14ac:dyDescent="0.35">
      <c r="B658" s="13" t="s">
        <v>137</v>
      </c>
      <c r="C658" s="15" t="str">
        <f t="shared" si="10"/>
        <v>Ayesha Farooq</v>
      </c>
      <c r="D658" s="17">
        <v>0</v>
      </c>
      <c r="E658" s="15">
        <f>IFERROR(IF(Raw_Data!N654="", 0, IF(Raw_Data!N654&gt;1, Raw_Data!N654/100, Raw_Data!N654)), 0)</f>
        <v>0</v>
      </c>
      <c r="F658" s="15">
        <f>IFERROR(VALUE(Raw_Data!O654), Raw_Data!L654*Raw_Data!M654)</f>
        <v>448.86</v>
      </c>
    </row>
    <row r="659" spans="2:6" x14ac:dyDescent="0.35">
      <c r="B659" s="13" t="s">
        <v>972</v>
      </c>
      <c r="C659" s="15" t="str">
        <f t="shared" si="10"/>
        <v>Sana Khan</v>
      </c>
      <c r="D659" s="17">
        <v>0</v>
      </c>
      <c r="E659" s="15">
        <f>IFERROR(IF(Raw_Data!N655="", 0, IF(Raw_Data!N655&gt;1, Raw_Data!N655/100, Raw_Data!N655)), 0)</f>
        <v>0</v>
      </c>
      <c r="F659" s="15">
        <f>IFERROR(VALUE(Raw_Data!O655), Raw_Data!L655*Raw_Data!M655)</f>
        <v>304.95999999999998</v>
      </c>
    </row>
    <row r="660" spans="2:6" x14ac:dyDescent="0.35">
      <c r="B660" s="13" t="s">
        <v>807</v>
      </c>
      <c r="C660" s="15" t="str">
        <f t="shared" si="10"/>
        <v>Bilal Farooq</v>
      </c>
      <c r="D660" s="17">
        <v>0.2</v>
      </c>
      <c r="E660" s="15">
        <f>IFERROR(IF(Raw_Data!N656="", 0, IF(Raw_Data!N656&gt;1, Raw_Data!N656/100, Raw_Data!N656)), 0)</f>
        <v>0.2</v>
      </c>
      <c r="F660" s="15">
        <f>IFERROR(VALUE(Raw_Data!O656), Raw_Data!L656*Raw_Data!M656)</f>
        <v>4343.6000000000004</v>
      </c>
    </row>
    <row r="661" spans="2:6" x14ac:dyDescent="0.35">
      <c r="B661" s="13">
        <v>0</v>
      </c>
      <c r="C661" s="15" t="str">
        <f t="shared" si="10"/>
        <v>Unknown Customer</v>
      </c>
      <c r="D661" s="17">
        <v>0.15</v>
      </c>
      <c r="E661" s="15">
        <f>IFERROR(IF(Raw_Data!N657="", 0, IF(Raw_Data!N657&gt;1, Raw_Data!N657/100, Raw_Data!N657)), 0)</f>
        <v>0.15</v>
      </c>
      <c r="F661" s="15">
        <f>IFERROR(VALUE(Raw_Data!O657), Raw_Data!L657*Raw_Data!M657)</f>
        <v>141.24</v>
      </c>
    </row>
    <row r="662" spans="2:6" x14ac:dyDescent="0.35">
      <c r="B662" s="13" t="s">
        <v>169</v>
      </c>
      <c r="C662" s="15" t="str">
        <f t="shared" si="10"/>
        <v>Kamran Ansari</v>
      </c>
      <c r="D662" s="17">
        <v>0.3</v>
      </c>
      <c r="E662" s="15">
        <f>IFERROR(IF(Raw_Data!N658="", 0, IF(Raw_Data!N658&gt;1, Raw_Data!N658/100, Raw_Data!N658)), 0)</f>
        <v>0.3</v>
      </c>
      <c r="F662" s="15">
        <f>IFERROR(VALUE(Raw_Data!O658), Raw_Data!L658*Raw_Data!M658)</f>
        <v>2631.78</v>
      </c>
    </row>
    <row r="663" spans="2:6" x14ac:dyDescent="0.35">
      <c r="B663" s="13" t="s">
        <v>312</v>
      </c>
      <c r="C663" s="15" t="str">
        <f t="shared" si="10"/>
        <v>Usman Chaudhry</v>
      </c>
      <c r="D663" s="17">
        <v>0</v>
      </c>
      <c r="E663" s="15">
        <f>IFERROR(IF(Raw_Data!N659="", 0, IF(Raw_Data!N659&gt;1, Raw_Data!N659/100, Raw_Data!N659)), 0)</f>
        <v>0</v>
      </c>
      <c r="F663" s="15">
        <f>IFERROR(VALUE(Raw_Data!O659), Raw_Data!L659*Raw_Data!M659)</f>
        <v>1469.1</v>
      </c>
    </row>
    <row r="664" spans="2:6" x14ac:dyDescent="0.35">
      <c r="B664" s="13" t="s">
        <v>337</v>
      </c>
      <c r="C664" s="15" t="str">
        <f t="shared" si="10"/>
        <v>Usman Ansari</v>
      </c>
      <c r="D664" s="17">
        <v>0.3</v>
      </c>
      <c r="E664" s="15">
        <f>IFERROR(IF(Raw_Data!N660="", 0, IF(Raw_Data!N660&gt;1, Raw_Data!N660/100, Raw_Data!N660)), 0)</f>
        <v>0.3</v>
      </c>
      <c r="F664" s="15">
        <f>IFERROR(VALUE(Raw_Data!O660), Raw_Data!L660*Raw_Data!M660)</f>
        <v>7084.5</v>
      </c>
    </row>
    <row r="665" spans="2:6" x14ac:dyDescent="0.35">
      <c r="B665" s="13">
        <v>0</v>
      </c>
      <c r="C665" s="15" t="str">
        <f t="shared" si="10"/>
        <v>Unknown Customer</v>
      </c>
      <c r="D665" s="17">
        <v>0.1</v>
      </c>
      <c r="E665" s="15">
        <f>IFERROR(IF(Raw_Data!N661="", 0, IF(Raw_Data!N661&gt;1, Raw_Data!N661/100, Raw_Data!N661)), 0)</f>
        <v>0.1</v>
      </c>
      <c r="F665" s="15">
        <f>IFERROR(VALUE(Raw_Data!O661), Raw_Data!L661*Raw_Data!M661)</f>
        <v>5805</v>
      </c>
    </row>
    <row r="666" spans="2:6" x14ac:dyDescent="0.35">
      <c r="B666" s="13" t="s">
        <v>221</v>
      </c>
      <c r="C666" s="15" t="str">
        <f t="shared" si="10"/>
        <v>Bilal Chaudhry</v>
      </c>
      <c r="D666" s="17">
        <v>0</v>
      </c>
      <c r="E666" s="15">
        <f>IFERROR(IF(Raw_Data!N662="", 0, IF(Raw_Data!N662&gt;1, Raw_Data!N662/100, Raw_Data!N662)), 0)</f>
        <v>0</v>
      </c>
      <c r="F666" s="15">
        <f>IFERROR(VALUE(Raw_Data!O662), Raw_Data!L662*Raw_Data!M662)</f>
        <v>1611.06</v>
      </c>
    </row>
    <row r="667" spans="2:6" x14ac:dyDescent="0.35">
      <c r="B667" s="13" t="s">
        <v>202</v>
      </c>
      <c r="C667" s="15" t="str">
        <f t="shared" si="10"/>
        <v>Kamran Qureshi</v>
      </c>
      <c r="D667" s="17">
        <v>0.3</v>
      </c>
      <c r="E667" s="15">
        <f>IFERROR(IF(Raw_Data!N663="", 0, IF(Raw_Data!N663&gt;1, Raw_Data!N663/100, Raw_Data!N663)), 0)</f>
        <v>0.3</v>
      </c>
      <c r="F667" s="15">
        <f>IFERROR(VALUE(Raw_Data!O663), Raw_Data!L663*Raw_Data!M663)</f>
        <v>9810.36</v>
      </c>
    </row>
    <row r="668" spans="2:6" x14ac:dyDescent="0.35">
      <c r="B668" s="13" t="s">
        <v>26</v>
      </c>
      <c r="C668" s="15" t="str">
        <f t="shared" si="10"/>
        <v>Fatima Raza</v>
      </c>
      <c r="D668" s="17">
        <v>0</v>
      </c>
      <c r="E668" s="15">
        <f>IFERROR(IF(Raw_Data!N664="", 0, IF(Raw_Data!N664&gt;1, Raw_Data!N664/100, Raw_Data!N664)), 0)</f>
        <v>0</v>
      </c>
      <c r="F668" s="15">
        <f>IFERROR(VALUE(Raw_Data!O664), Raw_Data!L664*Raw_Data!M664)</f>
        <v>883.5</v>
      </c>
    </row>
    <row r="669" spans="2:6" x14ac:dyDescent="0.35">
      <c r="B669" s="13" t="s">
        <v>312</v>
      </c>
      <c r="C669" s="15" t="str">
        <f t="shared" si="10"/>
        <v>Usman Chaudhry</v>
      </c>
      <c r="D669" s="17">
        <v>0.1</v>
      </c>
      <c r="E669" s="15">
        <f>IFERROR(IF(Raw_Data!N665="", 0, IF(Raw_Data!N665&gt;1, Raw_Data!N665/100, Raw_Data!N665)), 0)</f>
        <v>0.1</v>
      </c>
      <c r="F669" s="15">
        <f>IFERROR(VALUE(Raw_Data!O665), Raw_Data!L665*Raw_Data!M665)</f>
        <v>3077.55</v>
      </c>
    </row>
    <row r="670" spans="2:6" x14ac:dyDescent="0.35">
      <c r="B670" s="13" t="s">
        <v>984</v>
      </c>
      <c r="C670" s="15" t="str">
        <f t="shared" si="10"/>
        <v>Zara Ansari</v>
      </c>
      <c r="D670" s="17">
        <v>0.3</v>
      </c>
      <c r="E670" s="15">
        <f>IFERROR(IF(Raw_Data!N666="", 0, IF(Raw_Data!N666&gt;1, Raw_Data!N666/100, Raw_Data!N666)), 0)</f>
        <v>0.3</v>
      </c>
      <c r="F670" s="15">
        <f>IFERROR(VALUE(Raw_Data!O666), Raw_Data!L666*Raw_Data!M666)</f>
        <v>662.2</v>
      </c>
    </row>
    <row r="671" spans="2:6" x14ac:dyDescent="0.35">
      <c r="B671" s="13" t="s">
        <v>149</v>
      </c>
      <c r="C671" s="15" t="str">
        <f t="shared" si="10"/>
        <v>Usman Butt</v>
      </c>
      <c r="D671" s="17">
        <v>15</v>
      </c>
      <c r="E671" s="15">
        <f>IFERROR(IF(Raw_Data!N667="", 0, IF(Raw_Data!N667&gt;1, Raw_Data!N667/100, Raw_Data!N667)), 0)</f>
        <v>0.15</v>
      </c>
      <c r="F671" s="15">
        <f>IFERROR(VALUE(Raw_Data!O667), Raw_Data!L667*Raw_Data!M667)</f>
        <v>3270.64</v>
      </c>
    </row>
    <row r="672" spans="2:6" x14ac:dyDescent="0.35">
      <c r="B672" s="13" t="s">
        <v>180</v>
      </c>
      <c r="C672" s="15" t="str">
        <f t="shared" si="10"/>
        <v>Faisal Butt</v>
      </c>
      <c r="D672" s="17">
        <v>0</v>
      </c>
      <c r="E672" s="15">
        <f>IFERROR(IF(Raw_Data!N668="", 0, IF(Raw_Data!N668&gt;1, Raw_Data!N668/100, Raw_Data!N668)), 0)</f>
        <v>0</v>
      </c>
      <c r="F672" s="15">
        <f>IFERROR(VALUE(Raw_Data!O668), Raw_Data!L668*Raw_Data!M668)</f>
        <v>95.63</v>
      </c>
    </row>
    <row r="673" spans="2:6" x14ac:dyDescent="0.35">
      <c r="B673" s="13" t="s">
        <v>303</v>
      </c>
      <c r="C673" s="15" t="str">
        <f t="shared" si="10"/>
        <v>Faisal Sheikh</v>
      </c>
      <c r="D673" s="17">
        <v>0</v>
      </c>
      <c r="E673" s="15">
        <f>IFERROR(IF(Raw_Data!N669="", 0, IF(Raw_Data!N669&gt;1, Raw_Data!N669/100, Raw_Data!N669)), 0)</f>
        <v>0</v>
      </c>
      <c r="F673" s="15">
        <f>IFERROR(VALUE(Raw_Data!O669), Raw_Data!L669*Raw_Data!M669)</f>
        <v>8787.36</v>
      </c>
    </row>
    <row r="674" spans="2:6" x14ac:dyDescent="0.35">
      <c r="B674" s="13" t="s">
        <v>141</v>
      </c>
      <c r="C674" s="15" t="str">
        <f t="shared" si="10"/>
        <v>Fatima Ansari</v>
      </c>
      <c r="D674" s="17">
        <v>0</v>
      </c>
      <c r="E674" s="15">
        <f>IFERROR(IF(Raw_Data!N670="", 0, IF(Raw_Data!N670&gt;1, Raw_Data!N670/100, Raw_Data!N670)), 0)</f>
        <v>0</v>
      </c>
      <c r="F674" s="15">
        <f>IFERROR(VALUE(Raw_Data!O670), Raw_Data!L670*Raw_Data!M670)</f>
        <v>1324.55</v>
      </c>
    </row>
    <row r="675" spans="2:6" x14ac:dyDescent="0.35">
      <c r="B675" s="13" t="s">
        <v>257</v>
      </c>
      <c r="C675" s="15" t="str">
        <f t="shared" si="10"/>
        <v>Ayesha Raza</v>
      </c>
      <c r="D675" s="17">
        <v>0.2</v>
      </c>
      <c r="E675" s="15">
        <f>IFERROR(IF(Raw_Data!N671="", 0, IF(Raw_Data!N671&gt;1, Raw_Data!N671/100, Raw_Data!N671)), 0)</f>
        <v>0.2</v>
      </c>
      <c r="F675" s="15">
        <f>IFERROR(VALUE(Raw_Data!O671), Raw_Data!L671*Raw_Data!M671)</f>
        <v>3458.52</v>
      </c>
    </row>
    <row r="676" spans="2:6" x14ac:dyDescent="0.35">
      <c r="B676" s="13" t="s">
        <v>770</v>
      </c>
      <c r="C676" s="15" t="str">
        <f t="shared" si="10"/>
        <v>Mahnoor Farooq</v>
      </c>
      <c r="D676" s="17">
        <v>0.15</v>
      </c>
      <c r="E676" s="15">
        <f>IFERROR(IF(Raw_Data!N672="", 0, IF(Raw_Data!N672&gt;1, Raw_Data!N672/100, Raw_Data!N672)), 0)</f>
        <v>0.15</v>
      </c>
      <c r="F676" s="15">
        <f>IFERROR(VALUE(Raw_Data!O672), Raw_Data!L672*Raw_Data!M672)</f>
        <v>1454.38</v>
      </c>
    </row>
    <row r="677" spans="2:6" x14ac:dyDescent="0.35">
      <c r="B677" s="13" t="s">
        <v>360</v>
      </c>
      <c r="C677" s="15" t="str">
        <f t="shared" si="10"/>
        <v>Ali Iqbal</v>
      </c>
      <c r="D677" s="17">
        <v>0</v>
      </c>
      <c r="E677" s="15">
        <f>IFERROR(IF(Raw_Data!N673="", 0, IF(Raw_Data!N673&gt;1, Raw_Data!N673/100, Raw_Data!N673)), 0)</f>
        <v>0</v>
      </c>
      <c r="F677" s="15">
        <f>IFERROR(VALUE(Raw_Data!O673), Raw_Data!L673*Raw_Data!M673)</f>
        <v>3521.76</v>
      </c>
    </row>
    <row r="678" spans="2:6" x14ac:dyDescent="0.35">
      <c r="B678" s="13" t="s">
        <v>265</v>
      </c>
      <c r="C678" s="15" t="str">
        <f t="shared" si="10"/>
        <v>Kamran Sheikh</v>
      </c>
      <c r="D678" s="17">
        <v>0.15</v>
      </c>
      <c r="E678" s="15">
        <f>IFERROR(IF(Raw_Data!N674="", 0, IF(Raw_Data!N674&gt;1, Raw_Data!N674/100, Raw_Data!N674)), 0)</f>
        <v>0.15</v>
      </c>
      <c r="F678" s="15">
        <f>IFERROR(VALUE(Raw_Data!O674), Raw_Data!L674*Raw_Data!M674)</f>
        <v>603.38</v>
      </c>
    </row>
    <row r="679" spans="2:6" x14ac:dyDescent="0.35">
      <c r="B679" s="13" t="s">
        <v>375</v>
      </c>
      <c r="C679" s="15" t="str">
        <f t="shared" si="10"/>
        <v>Sara Raza</v>
      </c>
      <c r="D679" s="17">
        <v>0</v>
      </c>
      <c r="E679" s="15">
        <f>IFERROR(IF(Raw_Data!N675="", 0, IF(Raw_Data!N675&gt;1, Raw_Data!N675/100, Raw_Data!N675)), 0)</f>
        <v>0</v>
      </c>
      <c r="F679" s="15">
        <f>IFERROR(VALUE(Raw_Data!O675), Raw_Data!L675*Raw_Data!M675)</f>
        <v>1816.83</v>
      </c>
    </row>
    <row r="680" spans="2:6" x14ac:dyDescent="0.35">
      <c r="B680" s="13" t="s">
        <v>186</v>
      </c>
      <c r="C680" s="15" t="str">
        <f t="shared" si="10"/>
        <v>Ali Qureshi</v>
      </c>
      <c r="D680" s="17">
        <v>0.1</v>
      </c>
      <c r="E680" s="15">
        <f>IFERROR(IF(Raw_Data!N676="", 0, IF(Raw_Data!N676&gt;1, Raw_Data!N676/100, Raw_Data!N676)), 0)</f>
        <v>0.1</v>
      </c>
      <c r="F680" s="15">
        <f>IFERROR(VALUE(Raw_Data!O676), Raw_Data!L676*Raw_Data!M676)</f>
        <v>3690.72</v>
      </c>
    </row>
    <row r="681" spans="2:6" x14ac:dyDescent="0.35">
      <c r="B681" s="13" t="s">
        <v>400</v>
      </c>
      <c r="C681" s="15" t="str">
        <f t="shared" si="10"/>
        <v>Sana Chaudhry</v>
      </c>
      <c r="D681" s="17">
        <v>0</v>
      </c>
      <c r="E681" s="15">
        <f>IFERROR(IF(Raw_Data!N677="", 0, IF(Raw_Data!N677&gt;1, Raw_Data!N677/100, Raw_Data!N677)), 0)</f>
        <v>0</v>
      </c>
      <c r="F681" s="15">
        <f>IFERROR(VALUE(Raw_Data!O677), Raw_Data!L677*Raw_Data!M677)</f>
        <v>1937.44</v>
      </c>
    </row>
    <row r="682" spans="2:6" x14ac:dyDescent="0.35">
      <c r="B682" s="13" t="s">
        <v>50</v>
      </c>
      <c r="C682" s="15" t="str">
        <f t="shared" si="10"/>
        <v>Omar Raza</v>
      </c>
      <c r="D682" s="17">
        <v>0</v>
      </c>
      <c r="E682" s="15">
        <f>IFERROR(IF(Raw_Data!N678="", 0, IF(Raw_Data!N678&gt;1, Raw_Data!N678/100, Raw_Data!N678)), 0)</f>
        <v>0</v>
      </c>
      <c r="F682" s="15">
        <f>IFERROR(VALUE(Raw_Data!O678), Raw_Data!L678*Raw_Data!M678)</f>
        <v>1112.0999999999999</v>
      </c>
    </row>
    <row r="683" spans="2:6" x14ac:dyDescent="0.35">
      <c r="B683" s="13" t="s">
        <v>640</v>
      </c>
      <c r="C683" s="15" t="str">
        <f t="shared" si="10"/>
        <v>Rabia Iqbal</v>
      </c>
      <c r="D683" s="17">
        <v>0</v>
      </c>
      <c r="E683" s="15">
        <f>IFERROR(IF(Raw_Data!N679="", 0, IF(Raw_Data!N679&gt;1, Raw_Data!N679/100, Raw_Data!N679)), 0)</f>
        <v>0</v>
      </c>
      <c r="F683" s="15">
        <f>IFERROR(VALUE(Raw_Data!O679), Raw_Data!L679*Raw_Data!M679)</f>
        <v>1735.29</v>
      </c>
    </row>
    <row r="684" spans="2:6" x14ac:dyDescent="0.35">
      <c r="B684" s="13" t="s">
        <v>193</v>
      </c>
      <c r="C684" s="15" t="str">
        <f t="shared" si="10"/>
        <v>Sana Butt</v>
      </c>
      <c r="D684" s="17">
        <v>0</v>
      </c>
      <c r="E684" s="15">
        <f>IFERROR(IF(Raw_Data!N680="", 0, IF(Raw_Data!N680&gt;1, Raw_Data!N680/100, Raw_Data!N680)), 0)</f>
        <v>0</v>
      </c>
      <c r="F684" s="15">
        <f>IFERROR(VALUE(Raw_Data!O680), Raw_Data!L680*Raw_Data!M680)</f>
        <v>3452.75</v>
      </c>
    </row>
    <row r="685" spans="2:6" x14ac:dyDescent="0.35">
      <c r="B685" s="13" t="s">
        <v>287</v>
      </c>
      <c r="C685" s="15" t="str">
        <f t="shared" si="10"/>
        <v>Fatima Chaudhry</v>
      </c>
      <c r="D685" s="17">
        <v>0</v>
      </c>
      <c r="E685" s="15">
        <f>IFERROR(IF(Raw_Data!N681="", 0, IF(Raw_Data!N681&gt;1, Raw_Data!N681/100, Raw_Data!N681)), 0)</f>
        <v>0</v>
      </c>
      <c r="F685" s="15">
        <f>IFERROR(VALUE(Raw_Data!O681), Raw_Data!L681*Raw_Data!M681)</f>
        <v>3561.1</v>
      </c>
    </row>
    <row r="686" spans="2:6" x14ac:dyDescent="0.35">
      <c r="B686" s="13" t="s">
        <v>135</v>
      </c>
      <c r="C686" s="15" t="str">
        <f t="shared" si="10"/>
        <v>Adeel Malik</v>
      </c>
      <c r="D686" s="17">
        <v>0</v>
      </c>
      <c r="E686" s="15">
        <f>IFERROR(IF(Raw_Data!N682="", 0, IF(Raw_Data!N682&gt;1, Raw_Data!N682/100, Raw_Data!N682)), 0)</f>
        <v>0</v>
      </c>
      <c r="F686" s="15">
        <f>IFERROR(VALUE(Raw_Data!O682), Raw_Data!L682*Raw_Data!M682)</f>
        <v>837.54</v>
      </c>
    </row>
    <row r="687" spans="2:6" x14ac:dyDescent="0.35">
      <c r="B687" s="13" t="s">
        <v>758</v>
      </c>
      <c r="C687" s="15" t="str">
        <f t="shared" si="10"/>
        <v>Sara Farooq</v>
      </c>
      <c r="D687" s="17">
        <v>0</v>
      </c>
      <c r="E687" s="15">
        <f>IFERROR(IF(Raw_Data!N683="", 0, IF(Raw_Data!N683&gt;1, Raw_Data!N683/100, Raw_Data!N683)), 0)</f>
        <v>0</v>
      </c>
      <c r="F687" s="15">
        <f>IFERROR(VALUE(Raw_Data!O683), Raw_Data!L683*Raw_Data!M683)</f>
        <v>1398.38</v>
      </c>
    </row>
    <row r="688" spans="2:6" x14ac:dyDescent="0.35">
      <c r="B688" s="13" t="s">
        <v>510</v>
      </c>
      <c r="C688" s="15" t="str">
        <f t="shared" si="10"/>
        <v>Hassan Iqbal</v>
      </c>
      <c r="D688" s="17">
        <v>0.15</v>
      </c>
      <c r="E688" s="15">
        <f>IFERROR(IF(Raw_Data!N684="", 0, IF(Raw_Data!N684&gt;1, Raw_Data!N684/100, Raw_Data!N684)), 0)</f>
        <v>0.15</v>
      </c>
      <c r="F688" s="15">
        <f>IFERROR(VALUE(Raw_Data!O684), Raw_Data!L684*Raw_Data!M684)</f>
        <v>1980.39</v>
      </c>
    </row>
    <row r="689" spans="2:6" x14ac:dyDescent="0.35">
      <c r="B689" s="13" t="s">
        <v>424</v>
      </c>
      <c r="C689" s="15" t="str">
        <f t="shared" si="10"/>
        <v>Tariq Qureshi</v>
      </c>
      <c r="D689" s="17">
        <v>0.3</v>
      </c>
      <c r="E689" s="15">
        <f>IFERROR(IF(Raw_Data!N685="", 0, IF(Raw_Data!N685&gt;1, Raw_Data!N685/100, Raw_Data!N685)), 0)</f>
        <v>0.3</v>
      </c>
      <c r="F689" s="15">
        <f>IFERROR(VALUE(Raw_Data!O685), Raw_Data!L685*Raw_Data!M685)</f>
        <v>4966.8</v>
      </c>
    </row>
    <row r="690" spans="2:6" x14ac:dyDescent="0.35">
      <c r="B690" s="13" t="s">
        <v>839</v>
      </c>
      <c r="C690" s="15" t="str">
        <f t="shared" si="10"/>
        <v>Mahnoor Qureshi</v>
      </c>
      <c r="D690" s="17">
        <v>0.3</v>
      </c>
      <c r="E690" s="15">
        <f>IFERROR(IF(Raw_Data!N686="", 0, IF(Raw_Data!N686&gt;1, Raw_Data!N686/100, Raw_Data!N686)), 0)</f>
        <v>0.3</v>
      </c>
      <c r="F690" s="15">
        <f>IFERROR(VALUE(Raw_Data!O686), Raw_Data!L686*Raw_Data!M686)</f>
        <v>3409.45</v>
      </c>
    </row>
    <row r="691" spans="2:6" x14ac:dyDescent="0.35">
      <c r="B691" s="13" t="s">
        <v>326</v>
      </c>
      <c r="C691" s="15" t="str">
        <f t="shared" si="10"/>
        <v>Ali Raza</v>
      </c>
      <c r="D691" s="17">
        <v>0.1</v>
      </c>
      <c r="E691" s="15">
        <f>IFERROR(IF(Raw_Data!N687="", 0, IF(Raw_Data!N687&gt;1, Raw_Data!N687/100, Raw_Data!N687)), 0)</f>
        <v>0.1</v>
      </c>
      <c r="F691" s="15">
        <f>IFERROR(VALUE(Raw_Data!O687), Raw_Data!L687*Raw_Data!M687)</f>
        <v>5324.83</v>
      </c>
    </row>
    <row r="692" spans="2:6" x14ac:dyDescent="0.35">
      <c r="B692" s="13" t="s">
        <v>518</v>
      </c>
      <c r="C692" s="15" t="str">
        <f t="shared" si="10"/>
        <v>Sana Qureshi</v>
      </c>
      <c r="D692" s="17">
        <v>0.2</v>
      </c>
      <c r="E692" s="15">
        <f>IFERROR(IF(Raw_Data!N688="", 0, IF(Raw_Data!N688&gt;1, Raw_Data!N688/100, Raw_Data!N688)), 0)</f>
        <v>0.2</v>
      </c>
      <c r="F692" s="15">
        <f>IFERROR(VALUE(Raw_Data!O688), Raw_Data!L688*Raw_Data!M688)</f>
        <v>4636.4399999999996</v>
      </c>
    </row>
    <row r="693" spans="2:6" x14ac:dyDescent="0.35">
      <c r="B693" s="13" t="s">
        <v>1009</v>
      </c>
      <c r="C693" s="15" t="str">
        <f t="shared" si="10"/>
        <v>Sana Farooq</v>
      </c>
      <c r="D693" s="17">
        <v>0</v>
      </c>
      <c r="E693" s="15">
        <f>IFERROR(IF(Raw_Data!N689="", 0, IF(Raw_Data!N689&gt;1, Raw_Data!N689/100, Raw_Data!N689)), 0)</f>
        <v>0</v>
      </c>
      <c r="F693" s="15">
        <f>IFERROR(VALUE(Raw_Data!O689), Raw_Data!L689*Raw_Data!M689)</f>
        <v>7777.5</v>
      </c>
    </row>
    <row r="694" spans="2:6" x14ac:dyDescent="0.35">
      <c r="B694" s="13" t="s">
        <v>243</v>
      </c>
      <c r="C694" s="15" t="str">
        <f t="shared" si="10"/>
        <v>Zara Khan</v>
      </c>
      <c r="D694" s="17">
        <v>0</v>
      </c>
      <c r="E694" s="15">
        <f>IFERROR(IF(Raw_Data!N690="", 0, IF(Raw_Data!N690&gt;1, Raw_Data!N690/100, Raw_Data!N690)), 0)</f>
        <v>0</v>
      </c>
      <c r="F694" s="15">
        <f>IFERROR(VALUE(Raw_Data!O690), Raw_Data!L690*Raw_Data!M690)</f>
        <v>6924.96</v>
      </c>
    </row>
    <row r="695" spans="2:6" x14ac:dyDescent="0.35">
      <c r="B695" s="13" t="s">
        <v>269</v>
      </c>
      <c r="C695" s="15" t="str">
        <f t="shared" si="10"/>
        <v>Imran Khan</v>
      </c>
      <c r="D695" s="17">
        <v>0</v>
      </c>
      <c r="E695" s="15">
        <f>IFERROR(IF(Raw_Data!N691="", 0, IF(Raw_Data!N691&gt;1, Raw_Data!N691/100, Raw_Data!N691)), 0)</f>
        <v>0</v>
      </c>
      <c r="F695" s="15">
        <f>IFERROR(VALUE(Raw_Data!O691), Raw_Data!L691*Raw_Data!M691)</f>
        <v>2328.56</v>
      </c>
    </row>
    <row r="696" spans="2:6" x14ac:dyDescent="0.35">
      <c r="B696" s="13" t="s">
        <v>363</v>
      </c>
      <c r="C696" s="15" t="str">
        <f t="shared" si="10"/>
        <v>Bilal Iqbal</v>
      </c>
      <c r="D696" s="17">
        <v>0.2</v>
      </c>
      <c r="E696" s="15">
        <f>IFERROR(IF(Raw_Data!N692="", 0, IF(Raw_Data!N692&gt;1, Raw_Data!N692/100, Raw_Data!N692)), 0)</f>
        <v>0.2</v>
      </c>
      <c r="F696" s="15">
        <f>IFERROR(VALUE(Raw_Data!O692), Raw_Data!L692*Raw_Data!M692)</f>
        <v>6117.2</v>
      </c>
    </row>
    <row r="697" spans="2:6" x14ac:dyDescent="0.35">
      <c r="B697" s="13" t="s">
        <v>326</v>
      </c>
      <c r="C697" s="15" t="str">
        <f t="shared" si="10"/>
        <v>Ali Raza</v>
      </c>
      <c r="D697" s="17">
        <v>0</v>
      </c>
      <c r="E697" s="15">
        <f>IFERROR(IF(Raw_Data!N693="", 0, IF(Raw_Data!N693&gt;1, Raw_Data!N693/100, Raw_Data!N693)), 0)</f>
        <v>0</v>
      </c>
      <c r="F697" s="15">
        <f>IFERROR(VALUE(Raw_Data!O693), Raw_Data!L693*Raw_Data!M693)</f>
        <v>6441.57</v>
      </c>
    </row>
    <row r="698" spans="2:6" x14ac:dyDescent="0.35">
      <c r="B698" s="13" t="s">
        <v>415</v>
      </c>
      <c r="C698" s="15" t="str">
        <f t="shared" si="10"/>
        <v>Rabia Malik</v>
      </c>
      <c r="D698" s="17">
        <v>0.2</v>
      </c>
      <c r="E698" s="15">
        <f>IFERROR(IF(Raw_Data!N694="", 0, IF(Raw_Data!N694&gt;1, Raw_Data!N694/100, Raw_Data!N694)), 0)</f>
        <v>0.2</v>
      </c>
      <c r="F698" s="15">
        <f>IFERROR(VALUE(Raw_Data!O694), Raw_Data!L694*Raw_Data!M694)</f>
        <v>5010.3599999999997</v>
      </c>
    </row>
    <row r="699" spans="2:6" x14ac:dyDescent="0.35">
      <c r="B699" s="13" t="s">
        <v>355</v>
      </c>
      <c r="C699" s="15" t="str">
        <f t="shared" si="10"/>
        <v>Ayesha Butt</v>
      </c>
      <c r="D699" s="17">
        <v>0.2</v>
      </c>
      <c r="E699" s="15">
        <f>IFERROR(IF(Raw_Data!N695="", 0, IF(Raw_Data!N695&gt;1, Raw_Data!N695/100, Raw_Data!N695)), 0)</f>
        <v>0.2</v>
      </c>
      <c r="F699" s="15">
        <f>IFERROR(VALUE(Raw_Data!O695), Raw_Data!L695*Raw_Data!M695)</f>
        <v>819.16</v>
      </c>
    </row>
    <row r="700" spans="2:6" x14ac:dyDescent="0.35">
      <c r="B700" s="13" t="s">
        <v>535</v>
      </c>
      <c r="C700" s="15" t="str">
        <f t="shared" si="10"/>
        <v>Nida Ansari</v>
      </c>
      <c r="D700" s="17">
        <v>0.1</v>
      </c>
      <c r="E700" s="15">
        <f>IFERROR(IF(Raw_Data!N696="", 0, IF(Raw_Data!N696&gt;1, Raw_Data!N696/100, Raw_Data!N696)), 0)</f>
        <v>0.1</v>
      </c>
      <c r="F700" s="15">
        <f>IFERROR(VALUE(Raw_Data!O696), Raw_Data!L696*Raw_Data!M696)</f>
        <v>6450.62</v>
      </c>
    </row>
    <row r="701" spans="2:6" x14ac:dyDescent="0.35">
      <c r="B701" s="13" t="s">
        <v>510</v>
      </c>
      <c r="C701" s="15" t="str">
        <f t="shared" si="10"/>
        <v>Hassan Iqbal</v>
      </c>
      <c r="D701" s="17">
        <v>0</v>
      </c>
      <c r="E701" s="15">
        <f>IFERROR(IF(Raw_Data!N697="", 0, IF(Raw_Data!N697&gt;1, Raw_Data!N697/100, Raw_Data!N697)), 0)</f>
        <v>0</v>
      </c>
      <c r="F701" s="15">
        <f>IFERROR(VALUE(Raw_Data!O697), Raw_Data!L697*Raw_Data!M697)</f>
        <v>1959.32</v>
      </c>
    </row>
    <row r="702" spans="2:6" x14ac:dyDescent="0.35">
      <c r="B702" s="13" t="s">
        <v>319</v>
      </c>
      <c r="C702" s="15" t="str">
        <f t="shared" si="10"/>
        <v>Sana Raza</v>
      </c>
      <c r="D702" s="17">
        <v>0.15</v>
      </c>
      <c r="E702" s="15">
        <f>IFERROR(IF(Raw_Data!N698="", 0, IF(Raw_Data!N698&gt;1, Raw_Data!N698/100, Raw_Data!N698)), 0)</f>
        <v>0.15</v>
      </c>
      <c r="F702" s="15">
        <f>IFERROR(VALUE(Raw_Data!O698), Raw_Data!L698*Raw_Data!M698)</f>
        <v>1614.87</v>
      </c>
    </row>
    <row r="703" spans="2:6" x14ac:dyDescent="0.35">
      <c r="B703" s="13" t="s">
        <v>227</v>
      </c>
      <c r="C703" s="15" t="str">
        <f t="shared" si="10"/>
        <v>Omar Qureshi</v>
      </c>
      <c r="D703" s="17">
        <v>0.1</v>
      </c>
      <c r="E703" s="15">
        <f>IFERROR(IF(Raw_Data!N699="", 0, IF(Raw_Data!N699&gt;1, Raw_Data!N699/100, Raw_Data!N699)), 0)</f>
        <v>0.1</v>
      </c>
      <c r="F703" s="15">
        <f>IFERROR(VALUE(Raw_Data!O699), Raw_Data!L699*Raw_Data!M699)</f>
        <v>8990.2000000000007</v>
      </c>
    </row>
    <row r="704" spans="2:6" x14ac:dyDescent="0.35">
      <c r="B704" s="13" t="s">
        <v>381</v>
      </c>
      <c r="C704" s="15" t="str">
        <f t="shared" si="10"/>
        <v>Usman Malik</v>
      </c>
      <c r="D704" s="17">
        <v>0</v>
      </c>
      <c r="E704" s="15">
        <f>IFERROR(IF(Raw_Data!N700="", 0, IF(Raw_Data!N700&gt;1, Raw_Data!N700/100, Raw_Data!N700)), 0)</f>
        <v>0</v>
      </c>
      <c r="F704" s="15">
        <f>IFERROR(VALUE(Raw_Data!O700), Raw_Data!L700*Raw_Data!M700)</f>
        <v>5251.38</v>
      </c>
    </row>
    <row r="705" spans="2:6" x14ac:dyDescent="0.35">
      <c r="B705" s="13" t="s">
        <v>397</v>
      </c>
      <c r="C705" s="15" t="str">
        <f t="shared" si="10"/>
        <v>Rabia Khan</v>
      </c>
      <c r="D705" s="17">
        <v>0.2</v>
      </c>
      <c r="E705" s="15">
        <f>IFERROR(IF(Raw_Data!N701="", 0, IF(Raw_Data!N701&gt;1, Raw_Data!N701/100, Raw_Data!N701)), 0)</f>
        <v>0.2</v>
      </c>
      <c r="F705" s="15">
        <f>IFERROR(VALUE(Raw_Data!O701), Raw_Data!L701*Raw_Data!M701)</f>
        <v>1889</v>
      </c>
    </row>
    <row r="706" spans="2:6" x14ac:dyDescent="0.35">
      <c r="B706" s="13" t="s">
        <v>297</v>
      </c>
      <c r="C706" s="15" t="str">
        <f t="shared" si="10"/>
        <v>Kamran Malik</v>
      </c>
      <c r="D706" s="17">
        <v>0</v>
      </c>
      <c r="E706" s="15">
        <f>IFERROR(IF(Raw_Data!N702="", 0, IF(Raw_Data!N702&gt;1, Raw_Data!N702/100, Raw_Data!N702)), 0)</f>
        <v>0</v>
      </c>
      <c r="F706" s="15">
        <f>IFERROR(VALUE(Raw_Data!O702), Raw_Data!L702*Raw_Data!M702)</f>
        <v>3128.04</v>
      </c>
    </row>
    <row r="707" spans="2:6" x14ac:dyDescent="0.35">
      <c r="B707" s="13" t="s">
        <v>326</v>
      </c>
      <c r="C707" s="15" t="str">
        <f t="shared" si="10"/>
        <v>Ali Raza</v>
      </c>
      <c r="D707" s="17">
        <v>0</v>
      </c>
      <c r="E707" s="15">
        <f>IFERROR(IF(Raw_Data!N703="", 0, IF(Raw_Data!N703&gt;1, Raw_Data!N703/100, Raw_Data!N703)), 0)</f>
        <v>0</v>
      </c>
      <c r="F707" s="15">
        <f>IFERROR(VALUE(Raw_Data!O703), Raw_Data!L703*Raw_Data!M703)</f>
        <v>6441.57</v>
      </c>
    </row>
    <row r="708" spans="2:6" x14ac:dyDescent="0.35">
      <c r="B708" s="13" t="s">
        <v>131</v>
      </c>
      <c r="C708" s="15" t="str">
        <f t="shared" si="10"/>
        <v>Ahmed Iqbal</v>
      </c>
      <c r="D708" s="17">
        <v>0</v>
      </c>
      <c r="E708" s="15">
        <f>IFERROR(IF(Raw_Data!N704="", 0, IF(Raw_Data!N704&gt;1, Raw_Data!N704/100, Raw_Data!N704)), 0)</f>
        <v>0</v>
      </c>
      <c r="F708" s="15">
        <f>IFERROR(VALUE(Raw_Data!O704), Raw_Data!L704*Raw_Data!M704)</f>
        <v>4255.46</v>
      </c>
    </row>
    <row r="709" spans="2:6" x14ac:dyDescent="0.35">
      <c r="B709" s="13" t="s">
        <v>1025</v>
      </c>
      <c r="C709" s="15" t="str">
        <f t="shared" si="10"/>
        <v>Sana Chaudhry</v>
      </c>
      <c r="D709" s="17">
        <v>0</v>
      </c>
      <c r="E709" s="15">
        <f>IFERROR(IF(Raw_Data!N705="", 0, IF(Raw_Data!N705&gt;1, Raw_Data!N705/100, Raw_Data!N705)), 0)</f>
        <v>0</v>
      </c>
      <c r="F709" s="15">
        <f>IFERROR(VALUE(Raw_Data!O705), Raw_Data!L705*Raw_Data!M705)</f>
        <v>1952.7</v>
      </c>
    </row>
    <row r="710" spans="2:6" x14ac:dyDescent="0.35">
      <c r="B710" s="13" t="s">
        <v>941</v>
      </c>
      <c r="C710" s="15" t="str">
        <f t="shared" si="10"/>
        <v>Ayesha Khan</v>
      </c>
      <c r="D710" s="17">
        <v>0</v>
      </c>
      <c r="E710" s="15">
        <f>IFERROR(IF(Raw_Data!N706="", 0, IF(Raw_Data!N706&gt;1, Raw_Data!N706/100, Raw_Data!N706)), 0)</f>
        <v>0</v>
      </c>
      <c r="F710" s="15">
        <f>IFERROR(VALUE(Raw_Data!O706), Raw_Data!L706*Raw_Data!M706)</f>
        <v>748.18</v>
      </c>
    </row>
    <row r="711" spans="2:6" x14ac:dyDescent="0.35">
      <c r="B711" s="13" t="s">
        <v>137</v>
      </c>
      <c r="C711" s="15" t="str">
        <f t="shared" ref="C711:C774" si="11">IF(OR(B711="",B711=0), "Unknown Customer", PROPER(TRIM(B711)))</f>
        <v>Ayesha Farooq</v>
      </c>
      <c r="D711" s="17">
        <v>0.1</v>
      </c>
      <c r="E711" s="15">
        <f>IFERROR(IF(Raw_Data!N707="", 0, IF(Raw_Data!N707&gt;1, Raw_Data!N707/100, Raw_Data!N707)), 0)</f>
        <v>0.1</v>
      </c>
      <c r="F711" s="15">
        <f>IFERROR(VALUE(Raw_Data!O707), Raw_Data!L707*Raw_Data!M707)</f>
        <v>375.3</v>
      </c>
    </row>
    <row r="712" spans="2:6" x14ac:dyDescent="0.35">
      <c r="B712" s="13" t="s">
        <v>615</v>
      </c>
      <c r="C712" s="15" t="str">
        <f t="shared" si="11"/>
        <v>Bilal Qureshi</v>
      </c>
      <c r="D712" s="17">
        <v>0.1</v>
      </c>
      <c r="E712" s="15">
        <f>IFERROR(IF(Raw_Data!N708="", 0, IF(Raw_Data!N708&gt;1, Raw_Data!N708/100, Raw_Data!N708)), 0)</f>
        <v>0.1</v>
      </c>
      <c r="F712" s="15">
        <f>IFERROR(VALUE(Raw_Data!O708), Raw_Data!L708*Raw_Data!M708)</f>
        <v>3112.32</v>
      </c>
    </row>
    <row r="713" spans="2:6" x14ac:dyDescent="0.35">
      <c r="B713" s="13" t="s">
        <v>873</v>
      </c>
      <c r="C713" s="15" t="str">
        <f t="shared" si="11"/>
        <v>Omar Iqbal</v>
      </c>
      <c r="D713" s="17">
        <v>0.2</v>
      </c>
      <c r="E713" s="15">
        <f>IFERROR(IF(Raw_Data!N709="", 0, IF(Raw_Data!N709&gt;1, Raw_Data!N709/100, Raw_Data!N709)), 0)</f>
        <v>0.2</v>
      </c>
      <c r="F713" s="15">
        <f>IFERROR(VALUE(Raw_Data!O709), Raw_Data!L709*Raw_Data!M709)</f>
        <v>1335.72</v>
      </c>
    </row>
    <row r="714" spans="2:6" x14ac:dyDescent="0.35">
      <c r="B714" s="13" t="s">
        <v>139</v>
      </c>
      <c r="C714" s="15" t="str">
        <f t="shared" si="11"/>
        <v>Tariq Malik</v>
      </c>
      <c r="D714" s="17">
        <v>0.1</v>
      </c>
      <c r="E714" s="15">
        <f>IFERROR(IF(Raw_Data!N710="", 0, IF(Raw_Data!N710&gt;1, Raw_Data!N710/100, Raw_Data!N710)), 0)</f>
        <v>0.1</v>
      </c>
      <c r="F714" s="15">
        <f>IFERROR(VALUE(Raw_Data!O710), Raw_Data!L710*Raw_Data!M710)</f>
        <v>22.17</v>
      </c>
    </row>
    <row r="715" spans="2:6" x14ac:dyDescent="0.35">
      <c r="B715" s="13" t="s">
        <v>400</v>
      </c>
      <c r="C715" s="15" t="str">
        <f t="shared" si="11"/>
        <v>Sana Chaudhry</v>
      </c>
      <c r="D715" s="17">
        <v>0</v>
      </c>
      <c r="E715" s="15">
        <f>IFERROR(IF(Raw_Data!N711="", 0, IF(Raw_Data!N711&gt;1, Raw_Data!N711/100, Raw_Data!N711)), 0)</f>
        <v>0</v>
      </c>
      <c r="F715" s="15">
        <f>IFERROR(VALUE(Raw_Data!O711), Raw_Data!L711*Raw_Data!M711)</f>
        <v>1427.4</v>
      </c>
    </row>
    <row r="716" spans="2:6" x14ac:dyDescent="0.35">
      <c r="B716" s="13" t="s">
        <v>184</v>
      </c>
      <c r="C716" s="15" t="str">
        <f t="shared" si="11"/>
        <v>Imran Ansari</v>
      </c>
      <c r="D716" s="17">
        <v>0</v>
      </c>
      <c r="E716" s="15">
        <f>IFERROR(IF(Raw_Data!N712="", 0, IF(Raw_Data!N712&gt;1, Raw_Data!N712/100, Raw_Data!N712)), 0)</f>
        <v>0</v>
      </c>
      <c r="F716" s="15">
        <f>IFERROR(VALUE(Raw_Data!O712), Raw_Data!L712*Raw_Data!M712)</f>
        <v>5365.36</v>
      </c>
    </row>
    <row r="717" spans="2:6" x14ac:dyDescent="0.35">
      <c r="B717" s="13" t="s">
        <v>469</v>
      </c>
      <c r="C717" s="15" t="str">
        <f t="shared" si="11"/>
        <v>Tariq Chaudhry</v>
      </c>
      <c r="D717" s="17">
        <v>0</v>
      </c>
      <c r="E717" s="15">
        <f>IFERROR(IF(Raw_Data!N713="", 0, IF(Raw_Data!N713&gt;1, Raw_Data!N713/100, Raw_Data!N713)), 0)</f>
        <v>0</v>
      </c>
      <c r="F717" s="15">
        <f>IFERROR(VALUE(Raw_Data!O713), Raw_Data!L713*Raw_Data!M713)</f>
        <v>1209.0999999999999</v>
      </c>
    </row>
    <row r="718" spans="2:6" x14ac:dyDescent="0.35">
      <c r="B718" s="13" t="s">
        <v>681</v>
      </c>
      <c r="C718" s="15" t="str">
        <f t="shared" si="11"/>
        <v>Fatima Farooq</v>
      </c>
      <c r="D718" s="17">
        <v>0.1</v>
      </c>
      <c r="E718" s="15">
        <f>IFERROR(IF(Raw_Data!N714="", 0, IF(Raw_Data!N714&gt;1, Raw_Data!N714/100, Raw_Data!N714)), 0)</f>
        <v>0.1</v>
      </c>
      <c r="F718" s="15">
        <f>IFERROR(VALUE(Raw_Data!O714), Raw_Data!L714*Raw_Data!M714)</f>
        <v>6371.2</v>
      </c>
    </row>
    <row r="719" spans="2:6" x14ac:dyDescent="0.35">
      <c r="B719" s="13" t="s">
        <v>518</v>
      </c>
      <c r="C719" s="15" t="str">
        <f t="shared" si="11"/>
        <v>Sana Qureshi</v>
      </c>
      <c r="D719" s="17">
        <v>0</v>
      </c>
      <c r="E719" s="15">
        <f>IFERROR(IF(Raw_Data!N715="", 0, IF(Raw_Data!N715&gt;1, Raw_Data!N715/100, Raw_Data!N715)), 0)</f>
        <v>0</v>
      </c>
      <c r="F719" s="15">
        <f>IFERROR(VALUE(Raw_Data!O715), Raw_Data!L715*Raw_Data!M715)</f>
        <v>6978.84</v>
      </c>
    </row>
    <row r="720" spans="2:6" x14ac:dyDescent="0.35">
      <c r="B720" s="13" t="s">
        <v>251</v>
      </c>
      <c r="C720" s="15" t="str">
        <f t="shared" si="11"/>
        <v>Hina Qureshi</v>
      </c>
      <c r="D720" s="17">
        <v>0.2</v>
      </c>
      <c r="E720" s="15">
        <f>IFERROR(IF(Raw_Data!N716="", 0, IF(Raw_Data!N716&gt;1, Raw_Data!N716/100, Raw_Data!N716)), 0)</f>
        <v>0.2</v>
      </c>
      <c r="F720" s="15">
        <f>IFERROR(VALUE(Raw_Data!O716), Raw_Data!L716*Raw_Data!M716)</f>
        <v>289.68</v>
      </c>
    </row>
    <row r="721" spans="2:6" x14ac:dyDescent="0.35">
      <c r="B721" s="13" t="s">
        <v>71</v>
      </c>
      <c r="C721" s="15" t="str">
        <f t="shared" si="11"/>
        <v>Nida Khan</v>
      </c>
      <c r="D721" s="17">
        <v>0.2</v>
      </c>
      <c r="E721" s="15">
        <f>IFERROR(IF(Raw_Data!N717="", 0, IF(Raw_Data!N717&gt;1, Raw_Data!N717/100, Raw_Data!N717)), 0)</f>
        <v>0.2</v>
      </c>
      <c r="F721" s="15">
        <f>IFERROR(VALUE(Raw_Data!O717), Raw_Data!L717*Raw_Data!M717)</f>
        <v>229.29</v>
      </c>
    </row>
    <row r="722" spans="2:6" x14ac:dyDescent="0.35">
      <c r="B722" s="13" t="s">
        <v>297</v>
      </c>
      <c r="C722" s="15" t="str">
        <f t="shared" si="11"/>
        <v>Kamran Malik</v>
      </c>
      <c r="D722" s="17">
        <v>0</v>
      </c>
      <c r="E722" s="15">
        <f>IFERROR(IF(Raw_Data!N718="", 0, IF(Raw_Data!N718&gt;1, Raw_Data!N718/100, Raw_Data!N718)), 0)</f>
        <v>0</v>
      </c>
      <c r="F722" s="15">
        <f>IFERROR(VALUE(Raw_Data!O718), Raw_Data!L718*Raw_Data!M718)</f>
        <v>3025.2</v>
      </c>
    </row>
    <row r="723" spans="2:6" x14ac:dyDescent="0.35">
      <c r="B723" s="13" t="s">
        <v>265</v>
      </c>
      <c r="C723" s="15" t="str">
        <f t="shared" si="11"/>
        <v>Kamran Sheikh</v>
      </c>
      <c r="D723" s="17">
        <v>0.1</v>
      </c>
      <c r="E723" s="15">
        <f>IFERROR(IF(Raw_Data!N719="", 0, IF(Raw_Data!N719&gt;1, Raw_Data!N719/100, Raw_Data!N719)), 0)</f>
        <v>0.1</v>
      </c>
      <c r="F723" s="15">
        <f>IFERROR(VALUE(Raw_Data!O719), Raw_Data!L719*Raw_Data!M719)</f>
        <v>1673.35</v>
      </c>
    </row>
    <row r="724" spans="2:6" x14ac:dyDescent="0.35">
      <c r="B724" s="13" t="s">
        <v>303</v>
      </c>
      <c r="C724" s="15" t="str">
        <f t="shared" si="11"/>
        <v>Faisal Sheikh</v>
      </c>
      <c r="D724" s="17">
        <v>0</v>
      </c>
      <c r="E724" s="15">
        <f>IFERROR(IF(Raw_Data!N720="", 0, IF(Raw_Data!N720&gt;1, Raw_Data!N720/100, Raw_Data!N720)), 0)</f>
        <v>0</v>
      </c>
      <c r="F724" s="15">
        <f>IFERROR(VALUE(Raw_Data!O720), Raw_Data!L720*Raw_Data!M720)</f>
        <v>5619.39</v>
      </c>
    </row>
    <row r="725" spans="2:6" x14ac:dyDescent="0.35">
      <c r="B725" s="13" t="s">
        <v>775</v>
      </c>
      <c r="C725" s="15" t="str">
        <f t="shared" si="11"/>
        <v>Ahmed Farooq</v>
      </c>
      <c r="D725" s="17">
        <v>0.2</v>
      </c>
      <c r="E725" s="15">
        <f>IFERROR(IF(Raw_Data!N721="", 0, IF(Raw_Data!N721&gt;1, Raw_Data!N721/100, Raw_Data!N721)), 0)</f>
        <v>0.2</v>
      </c>
      <c r="F725" s="15">
        <f>IFERROR(VALUE(Raw_Data!O721), Raw_Data!L721*Raw_Data!M721)</f>
        <v>690.8</v>
      </c>
    </row>
    <row r="726" spans="2:6" x14ac:dyDescent="0.35">
      <c r="B726" s="13" t="s">
        <v>1043</v>
      </c>
      <c r="C726" s="15" t="str">
        <f t="shared" si="11"/>
        <v>Zara Raza</v>
      </c>
      <c r="D726" s="17">
        <v>0</v>
      </c>
      <c r="E726" s="15">
        <f>IFERROR(IF(Raw_Data!N722="", 0, IF(Raw_Data!N722&gt;1, Raw_Data!N722/100, Raw_Data!N722)), 0)</f>
        <v>0</v>
      </c>
      <c r="F726" s="15">
        <f>IFERROR(VALUE(Raw_Data!O722), Raw_Data!L722*Raw_Data!M722)</f>
        <v>1141.92</v>
      </c>
    </row>
    <row r="727" spans="2:6" x14ac:dyDescent="0.35">
      <c r="B727" s="13" t="s">
        <v>368</v>
      </c>
      <c r="C727" s="15" t="str">
        <f t="shared" si="11"/>
        <v>Hassan Khan</v>
      </c>
      <c r="D727" s="17">
        <v>0.15</v>
      </c>
      <c r="E727" s="15">
        <f>IFERROR(IF(Raw_Data!N723="", 0, IF(Raw_Data!N723&gt;1, Raw_Data!N723/100, Raw_Data!N723)), 0)</f>
        <v>0.15</v>
      </c>
      <c r="F727" s="15">
        <f>IFERROR(VALUE(Raw_Data!O723), Raw_Data!L723*Raw_Data!M723)</f>
        <v>801.84</v>
      </c>
    </row>
    <row r="728" spans="2:6" x14ac:dyDescent="0.35">
      <c r="B728" s="13" t="s">
        <v>50</v>
      </c>
      <c r="C728" s="15" t="str">
        <f t="shared" si="11"/>
        <v>Omar Raza</v>
      </c>
      <c r="D728" s="17">
        <v>0.1</v>
      </c>
      <c r="E728" s="15">
        <f>IFERROR(IF(Raw_Data!N724="", 0, IF(Raw_Data!N724&gt;1, Raw_Data!N724/100, Raw_Data!N724)), 0)</f>
        <v>0.1</v>
      </c>
      <c r="F728" s="15">
        <f>IFERROR(VALUE(Raw_Data!O724), Raw_Data!L724*Raw_Data!M724)</f>
        <v>7710.8</v>
      </c>
    </row>
    <row r="729" spans="2:6" x14ac:dyDescent="0.35">
      <c r="B729" s="13" t="s">
        <v>295</v>
      </c>
      <c r="C729" s="15" t="str">
        <f t="shared" si="11"/>
        <v>Rabia Butt</v>
      </c>
      <c r="D729" s="17">
        <v>0.15</v>
      </c>
      <c r="E729" s="15">
        <f>IFERROR(IF(Raw_Data!N725="", 0, IF(Raw_Data!N725&gt;1, Raw_Data!N725/100, Raw_Data!N725)), 0)</f>
        <v>0.15</v>
      </c>
      <c r="F729" s="15">
        <f>IFERROR(VALUE(Raw_Data!O725), Raw_Data!L725*Raw_Data!M725)</f>
        <v>132.79</v>
      </c>
    </row>
    <row r="730" spans="2:6" x14ac:dyDescent="0.35">
      <c r="B730" s="13" t="s">
        <v>118</v>
      </c>
      <c r="C730" s="15" t="str">
        <f t="shared" si="11"/>
        <v>Ali Malik</v>
      </c>
      <c r="D730" s="17">
        <v>0</v>
      </c>
      <c r="E730" s="15">
        <f>IFERROR(IF(Raw_Data!N726="", 0, IF(Raw_Data!N726&gt;1, Raw_Data!N726/100, Raw_Data!N726)), 0)</f>
        <v>0</v>
      </c>
      <c r="F730" s="15">
        <f>IFERROR(VALUE(Raw_Data!O726), Raw_Data!L726*Raw_Data!M726)</f>
        <v>449.45</v>
      </c>
    </row>
    <row r="731" spans="2:6" x14ac:dyDescent="0.35">
      <c r="B731" s="13" t="s">
        <v>847</v>
      </c>
      <c r="C731" s="15" t="str">
        <f t="shared" si="11"/>
        <v>Sana Sheikh</v>
      </c>
      <c r="D731" s="17">
        <v>0</v>
      </c>
      <c r="E731" s="15">
        <f>IFERROR(IF(Raw_Data!N727="", 0, IF(Raw_Data!N727&gt;1, Raw_Data!N727/100, Raw_Data!N727)), 0)</f>
        <v>0</v>
      </c>
      <c r="F731" s="15">
        <f>IFERROR(VALUE(Raw_Data!O727), Raw_Data!L727*Raw_Data!M727)</f>
        <v>4386.6000000000004</v>
      </c>
    </row>
    <row r="732" spans="2:6" x14ac:dyDescent="0.35">
      <c r="B732" s="13" t="s">
        <v>77</v>
      </c>
      <c r="C732" s="15" t="str">
        <f t="shared" si="11"/>
        <v>Mahnoor Iqbal</v>
      </c>
      <c r="D732" s="17">
        <v>0</v>
      </c>
      <c r="E732" s="15">
        <f>IFERROR(IF(Raw_Data!N728="", 0, IF(Raw_Data!N728&gt;1, Raw_Data!N728/100, Raw_Data!N728)), 0)</f>
        <v>0</v>
      </c>
      <c r="F732" s="15">
        <f>IFERROR(VALUE(Raw_Data!O728), Raw_Data!L728*Raw_Data!M728)</f>
        <v>524.58000000000004</v>
      </c>
    </row>
    <row r="733" spans="2:6" x14ac:dyDescent="0.35">
      <c r="B733" s="13" t="s">
        <v>758</v>
      </c>
      <c r="C733" s="15" t="str">
        <f t="shared" si="11"/>
        <v>Sara Farooq</v>
      </c>
      <c r="D733" s="17">
        <v>0</v>
      </c>
      <c r="E733" s="15">
        <f>IFERROR(IF(Raw_Data!N729="", 0, IF(Raw_Data!N729&gt;1, Raw_Data!N729/100, Raw_Data!N729)), 0)</f>
        <v>0</v>
      </c>
      <c r="F733" s="15">
        <f>IFERROR(VALUE(Raw_Data!O729), Raw_Data!L729*Raw_Data!M729)</f>
        <v>4877.46</v>
      </c>
    </row>
    <row r="734" spans="2:6" x14ac:dyDescent="0.35">
      <c r="B734" s="13" t="s">
        <v>562</v>
      </c>
      <c r="C734" s="15" t="str">
        <f t="shared" si="11"/>
        <v>Faisal Iqbal</v>
      </c>
      <c r="D734" s="17">
        <v>0.1</v>
      </c>
      <c r="E734" s="15">
        <f>IFERROR(IF(Raw_Data!N730="", 0, IF(Raw_Data!N730&gt;1, Raw_Data!N730/100, Raw_Data!N730)), 0)</f>
        <v>0.1</v>
      </c>
      <c r="F734" s="15">
        <f>IFERROR(VALUE(Raw_Data!O730), Raw_Data!L730*Raw_Data!M730)</f>
        <v>4552.32</v>
      </c>
    </row>
    <row r="735" spans="2:6" x14ac:dyDescent="0.35">
      <c r="B735" s="13" t="s">
        <v>1053</v>
      </c>
      <c r="C735" s="15" t="str">
        <f t="shared" si="11"/>
        <v>Mahnoor Ansari</v>
      </c>
      <c r="D735" s="17">
        <v>0.15</v>
      </c>
      <c r="E735" s="15">
        <f>IFERROR(IF(Raw_Data!N731="", 0, IF(Raw_Data!N731&gt;1, Raw_Data!N731/100, Raw_Data!N731)), 0)</f>
        <v>0.15</v>
      </c>
      <c r="F735" s="15">
        <f>IFERROR(VALUE(Raw_Data!O731), Raw_Data!L731*Raw_Data!M731)</f>
        <v>2801.37</v>
      </c>
    </row>
    <row r="736" spans="2:6" x14ac:dyDescent="0.35">
      <c r="B736" s="13" t="s">
        <v>137</v>
      </c>
      <c r="C736" s="15" t="str">
        <f t="shared" si="11"/>
        <v>Ayesha Farooq</v>
      </c>
      <c r="D736" s="17">
        <v>0.15</v>
      </c>
      <c r="E736" s="15">
        <f>IFERROR(IF(Raw_Data!N732="", 0, IF(Raw_Data!N732&gt;1, Raw_Data!N732/100, Raw_Data!N732)), 0)</f>
        <v>0.15</v>
      </c>
      <c r="F736" s="15">
        <f>IFERROR(VALUE(Raw_Data!O732), Raw_Data!L732*Raw_Data!M732)</f>
        <v>3628.13</v>
      </c>
    </row>
    <row r="737" spans="2:6" x14ac:dyDescent="0.35">
      <c r="B737" s="13" t="s">
        <v>437</v>
      </c>
      <c r="C737" s="15" t="str">
        <f t="shared" si="11"/>
        <v>Bilal Raza</v>
      </c>
      <c r="D737" s="17">
        <v>0.15</v>
      </c>
      <c r="E737" s="15">
        <f>IFERROR(IF(Raw_Data!N733="", 0, IF(Raw_Data!N733&gt;1, Raw_Data!N733/100, Raw_Data!N733)), 0)</f>
        <v>0.15</v>
      </c>
      <c r="F737" s="15">
        <f>IFERROR(VALUE(Raw_Data!O733), Raw_Data!L733*Raw_Data!M733)</f>
        <v>261.27999999999997</v>
      </c>
    </row>
    <row r="738" spans="2:6" x14ac:dyDescent="0.35">
      <c r="B738" s="13" t="s">
        <v>351</v>
      </c>
      <c r="C738" s="15" t="str">
        <f t="shared" si="11"/>
        <v>Ahmed Qureshi</v>
      </c>
      <c r="D738" s="17">
        <v>0.15</v>
      </c>
      <c r="E738" s="15">
        <f>IFERROR(IF(Raw_Data!N734="", 0, IF(Raw_Data!N734&gt;1, Raw_Data!N734/100, Raw_Data!N734)), 0)</f>
        <v>0.15</v>
      </c>
      <c r="F738" s="15">
        <f>IFERROR(VALUE(Raw_Data!O734), Raw_Data!L734*Raw_Data!M734)</f>
        <v>3888.06</v>
      </c>
    </row>
    <row r="739" spans="2:6" x14ac:dyDescent="0.35">
      <c r="B739" s="13" t="s">
        <v>301</v>
      </c>
      <c r="C739" s="15" t="str">
        <f t="shared" si="11"/>
        <v>Sara Malik</v>
      </c>
      <c r="D739" s="17">
        <v>0</v>
      </c>
      <c r="E739" s="15">
        <f>IFERROR(IF(Raw_Data!N735="", 0, IF(Raw_Data!N735&gt;1, Raw_Data!N735/100, Raw_Data!N735)), 0)</f>
        <v>0</v>
      </c>
      <c r="F739" s="15">
        <f>IFERROR(VALUE(Raw_Data!O735), Raw_Data!L735*Raw_Data!M735)</f>
        <v>196.01</v>
      </c>
    </row>
    <row r="740" spans="2:6" x14ac:dyDescent="0.35">
      <c r="B740" s="13" t="s">
        <v>461</v>
      </c>
      <c r="C740" s="15" t="str">
        <f t="shared" si="11"/>
        <v>Rabia Raza</v>
      </c>
      <c r="D740" s="17">
        <v>0.1</v>
      </c>
      <c r="E740" s="15">
        <f>IFERROR(IF(Raw_Data!N736="", 0, IF(Raw_Data!N736&gt;1, Raw_Data!N736/100, Raw_Data!N736)), 0)</f>
        <v>0.1</v>
      </c>
      <c r="F740" s="15">
        <f>IFERROR(VALUE(Raw_Data!O736), Raw_Data!L736*Raw_Data!M736)</f>
        <v>7919.2</v>
      </c>
    </row>
    <row r="741" spans="2:6" x14ac:dyDescent="0.35">
      <c r="B741" s="13" t="s">
        <v>285</v>
      </c>
      <c r="C741" s="15" t="str">
        <f t="shared" si="11"/>
        <v>Adeel Chaudhry</v>
      </c>
      <c r="D741" s="17">
        <v>0.2</v>
      </c>
      <c r="E741" s="15">
        <f>IFERROR(IF(Raw_Data!N737="", 0, IF(Raw_Data!N737&gt;1, Raw_Data!N737/100, Raw_Data!N737)), 0)</f>
        <v>0.2</v>
      </c>
      <c r="F741" s="15">
        <f>IFERROR(VALUE(Raw_Data!O737), Raw_Data!L737*Raw_Data!M737)</f>
        <v>7850.79</v>
      </c>
    </row>
    <row r="742" spans="2:6" x14ac:dyDescent="0.35">
      <c r="B742" s="13" t="s">
        <v>469</v>
      </c>
      <c r="C742" s="15" t="str">
        <f t="shared" si="11"/>
        <v>Tariq Chaudhry</v>
      </c>
      <c r="D742" s="17">
        <v>0</v>
      </c>
      <c r="E742" s="15">
        <f>IFERROR(IF(Raw_Data!N738="", 0, IF(Raw_Data!N738&gt;1, Raw_Data!N738/100, Raw_Data!N738)), 0)</f>
        <v>0</v>
      </c>
      <c r="F742" s="15">
        <f>IFERROR(VALUE(Raw_Data!O738), Raw_Data!L738*Raw_Data!M738)</f>
        <v>1746.84</v>
      </c>
    </row>
    <row r="743" spans="2:6" x14ac:dyDescent="0.35">
      <c r="B743" s="13" t="s">
        <v>461</v>
      </c>
      <c r="C743" s="15" t="str">
        <f t="shared" si="11"/>
        <v>Rabia Raza</v>
      </c>
      <c r="D743" s="17">
        <v>0.1</v>
      </c>
      <c r="E743" s="15">
        <f>IFERROR(IF(Raw_Data!N739="", 0, IF(Raw_Data!N739&gt;1, Raw_Data!N739/100, Raw_Data!N739)), 0)</f>
        <v>0.1</v>
      </c>
      <c r="F743" s="15">
        <f>IFERROR(VALUE(Raw_Data!O739), Raw_Data!L739*Raw_Data!M739)</f>
        <v>7919.2</v>
      </c>
    </row>
    <row r="744" spans="2:6" x14ac:dyDescent="0.35">
      <c r="B744" s="13" t="s">
        <v>135</v>
      </c>
      <c r="C744" s="15" t="str">
        <f t="shared" si="11"/>
        <v>Adeel Malik</v>
      </c>
      <c r="D744" s="17">
        <v>0.2</v>
      </c>
      <c r="E744" s="15">
        <f>IFERROR(IF(Raw_Data!N740="", 0, IF(Raw_Data!N740&gt;1, Raw_Data!N740/100, Raw_Data!N740)), 0)</f>
        <v>0.2</v>
      </c>
      <c r="F744" s="15">
        <f>IFERROR(VALUE(Raw_Data!O740), Raw_Data!L740*Raw_Data!M740)</f>
        <v>2526.1999999999998</v>
      </c>
    </row>
    <row r="745" spans="2:6" x14ac:dyDescent="0.35">
      <c r="B745" s="13" t="s">
        <v>202</v>
      </c>
      <c r="C745" s="15" t="str">
        <f t="shared" si="11"/>
        <v>Kamran Qureshi</v>
      </c>
      <c r="D745" s="17">
        <v>0</v>
      </c>
      <c r="E745" s="15">
        <f>IFERROR(IF(Raw_Data!N741="", 0, IF(Raw_Data!N741&gt;1, Raw_Data!N741/100, Raw_Data!N741)), 0)</f>
        <v>0</v>
      </c>
      <c r="F745" s="15">
        <f>IFERROR(VALUE(Raw_Data!O741), Raw_Data!L741*Raw_Data!M741)</f>
        <v>1396.58</v>
      </c>
    </row>
    <row r="746" spans="2:6" x14ac:dyDescent="0.35">
      <c r="B746" s="13" t="s">
        <v>207</v>
      </c>
      <c r="C746" s="15" t="str">
        <f t="shared" si="11"/>
        <v>Kamran Butt</v>
      </c>
      <c r="D746" s="17">
        <v>0.3</v>
      </c>
      <c r="E746" s="15">
        <f>IFERROR(IF(Raw_Data!N742="", 0, IF(Raw_Data!N742&gt;1, Raw_Data!N742/100, Raw_Data!N742)), 0)</f>
        <v>0.3</v>
      </c>
      <c r="F746" s="15">
        <f>IFERROR(VALUE(Raw_Data!O742), Raw_Data!L742*Raw_Data!M742)</f>
        <v>5525.59</v>
      </c>
    </row>
    <row r="747" spans="2:6" x14ac:dyDescent="0.35">
      <c r="B747" s="13" t="s">
        <v>386</v>
      </c>
      <c r="C747" s="15" t="str">
        <f t="shared" si="11"/>
        <v>Tariq Farooq</v>
      </c>
      <c r="D747" s="17">
        <v>0.15</v>
      </c>
      <c r="E747" s="15">
        <f>IFERROR(IF(Raw_Data!N743="", 0, IF(Raw_Data!N743&gt;1, Raw_Data!N743/100, Raw_Data!N743)), 0)</f>
        <v>0.15</v>
      </c>
      <c r="F747" s="15">
        <f>IFERROR(VALUE(Raw_Data!O743), Raw_Data!L743*Raw_Data!M743)</f>
        <v>2048.8000000000002</v>
      </c>
    </row>
    <row r="748" spans="2:6" x14ac:dyDescent="0.35">
      <c r="B748" s="13" t="s">
        <v>66</v>
      </c>
      <c r="C748" s="15" t="str">
        <f t="shared" si="11"/>
        <v>Usman Qureshi</v>
      </c>
      <c r="D748" s="17">
        <v>0</v>
      </c>
      <c r="E748" s="15">
        <f>IFERROR(IF(Raw_Data!N744="", 0, IF(Raw_Data!N744&gt;1, Raw_Data!N744/100, Raw_Data!N744)), 0)</f>
        <v>0</v>
      </c>
      <c r="F748" s="15">
        <f>IFERROR(VALUE(Raw_Data!O744), Raw_Data!L744*Raw_Data!M744)</f>
        <v>129.66</v>
      </c>
    </row>
    <row r="749" spans="2:6" x14ac:dyDescent="0.35">
      <c r="B749" s="13" t="s">
        <v>518</v>
      </c>
      <c r="C749" s="15" t="str">
        <f t="shared" si="11"/>
        <v>Sana Qureshi</v>
      </c>
      <c r="D749" s="17">
        <v>0</v>
      </c>
      <c r="E749" s="15">
        <f>IFERROR(IF(Raw_Data!N745="", 0, IF(Raw_Data!N745&gt;1, Raw_Data!N745/100, Raw_Data!N745)), 0)</f>
        <v>0</v>
      </c>
      <c r="F749" s="15">
        <f>IFERROR(VALUE(Raw_Data!O745), Raw_Data!L745*Raw_Data!M745)</f>
        <v>436.36</v>
      </c>
    </row>
    <row r="750" spans="2:6" x14ac:dyDescent="0.35">
      <c r="B750" s="13" t="s">
        <v>221</v>
      </c>
      <c r="C750" s="15" t="str">
        <f t="shared" si="11"/>
        <v>Bilal Chaudhry</v>
      </c>
      <c r="D750" s="17">
        <v>0.15</v>
      </c>
      <c r="E750" s="15">
        <f>IFERROR(IF(Raw_Data!N746="", 0, IF(Raw_Data!N746&gt;1, Raw_Data!N746/100, Raw_Data!N746)), 0)</f>
        <v>0.15</v>
      </c>
      <c r="F750" s="15">
        <f>IFERROR(VALUE(Raw_Data!O746), Raw_Data!L746*Raw_Data!M746)</f>
        <v>1150.04</v>
      </c>
    </row>
    <row r="751" spans="2:6" x14ac:dyDescent="0.35">
      <c r="B751" s="13" t="s">
        <v>1067</v>
      </c>
      <c r="C751" s="15" t="str">
        <f t="shared" si="11"/>
        <v>Tariq Butt</v>
      </c>
      <c r="D751" s="17">
        <v>0</v>
      </c>
      <c r="E751" s="15">
        <f>IFERROR(IF(Raw_Data!N747="", 0, IF(Raw_Data!N747&gt;1, Raw_Data!N747/100, Raw_Data!N747)), 0)</f>
        <v>0</v>
      </c>
      <c r="F751" s="15">
        <f>IFERROR(VALUE(Raw_Data!O747), Raw_Data!L747*Raw_Data!M747)</f>
        <v>1727.5</v>
      </c>
    </row>
    <row r="752" spans="2:6" x14ac:dyDescent="0.35">
      <c r="B752" s="13" t="s">
        <v>207</v>
      </c>
      <c r="C752" s="15" t="str">
        <f t="shared" si="11"/>
        <v>Kamran Butt</v>
      </c>
      <c r="D752" s="17">
        <v>0.2</v>
      </c>
      <c r="E752" s="15">
        <f>IFERROR(IF(Raw_Data!N748="", 0, IF(Raw_Data!N748&gt;1, Raw_Data!N748/100, Raw_Data!N748)), 0)</f>
        <v>0.2</v>
      </c>
      <c r="F752" s="15">
        <f>IFERROR(VALUE(Raw_Data!O748), Raw_Data!L748*Raw_Data!M748)</f>
        <v>868.45</v>
      </c>
    </row>
    <row r="753" spans="2:6" x14ac:dyDescent="0.35">
      <c r="B753" s="13" t="s">
        <v>403</v>
      </c>
      <c r="C753" s="15" t="str">
        <f t="shared" si="11"/>
        <v>Adeel Ansari</v>
      </c>
      <c r="D753" s="17">
        <v>0</v>
      </c>
      <c r="E753" s="15">
        <f>IFERROR(IF(Raw_Data!N749="", 0, IF(Raw_Data!N749&gt;1, Raw_Data!N749/100, Raw_Data!N749)), 0)</f>
        <v>0</v>
      </c>
      <c r="F753" s="15">
        <f>IFERROR(VALUE(Raw_Data!O749), Raw_Data!L749*Raw_Data!M749)</f>
        <v>352.68</v>
      </c>
    </row>
    <row r="754" spans="2:6" x14ac:dyDescent="0.35">
      <c r="B754" s="13" t="s">
        <v>141</v>
      </c>
      <c r="C754" s="15" t="str">
        <f t="shared" si="11"/>
        <v>Fatima Ansari</v>
      </c>
      <c r="D754" s="17">
        <v>0</v>
      </c>
      <c r="E754" s="15">
        <f>IFERROR(IF(Raw_Data!N750="", 0, IF(Raw_Data!N750&gt;1, Raw_Data!N750/100, Raw_Data!N750)), 0)</f>
        <v>0</v>
      </c>
      <c r="F754" s="15">
        <f>IFERROR(VALUE(Raw_Data!O750), Raw_Data!L750*Raw_Data!M750)</f>
        <v>2731.08</v>
      </c>
    </row>
    <row r="755" spans="2:6" x14ac:dyDescent="0.35">
      <c r="B755" s="13" t="s">
        <v>239</v>
      </c>
      <c r="C755" s="15" t="str">
        <f t="shared" si="11"/>
        <v>Sana Farooq</v>
      </c>
      <c r="D755" s="17">
        <v>0</v>
      </c>
      <c r="E755" s="15">
        <f>IFERROR(IF(Raw_Data!N751="", 0, IF(Raw_Data!N751&gt;1, Raw_Data!N751/100, Raw_Data!N751)), 0)</f>
        <v>0</v>
      </c>
      <c r="F755" s="15">
        <f>IFERROR(VALUE(Raw_Data!O751), Raw_Data!L751*Raw_Data!M751)</f>
        <v>3082.52</v>
      </c>
    </row>
    <row r="756" spans="2:6" x14ac:dyDescent="0.35">
      <c r="B756" s="13" t="s">
        <v>685</v>
      </c>
      <c r="C756" s="15" t="str">
        <f t="shared" si="11"/>
        <v>Hina Raza</v>
      </c>
      <c r="D756" s="17">
        <v>0.3</v>
      </c>
      <c r="E756" s="15">
        <f>IFERROR(IF(Raw_Data!N752="", 0, IF(Raw_Data!N752&gt;1, Raw_Data!N752/100, Raw_Data!N752)), 0)</f>
        <v>0.3</v>
      </c>
      <c r="F756" s="15">
        <f>IFERROR(VALUE(Raw_Data!O752), Raw_Data!L752*Raw_Data!M752)</f>
        <v>1002.55</v>
      </c>
    </row>
    <row r="757" spans="2:6" x14ac:dyDescent="0.35">
      <c r="B757" s="13" t="s">
        <v>143</v>
      </c>
      <c r="C757" s="15" t="str">
        <f t="shared" si="11"/>
        <v>Zara Sheikh</v>
      </c>
      <c r="D757" s="17">
        <v>0.2</v>
      </c>
      <c r="E757" s="15">
        <f>IFERROR(IF(Raw_Data!N753="", 0, IF(Raw_Data!N753&gt;1, Raw_Data!N753/100, Raw_Data!N753)), 0)</f>
        <v>0.2</v>
      </c>
      <c r="F757" s="15">
        <f>IFERROR(VALUE(Raw_Data!O753), Raw_Data!L753*Raw_Data!M753)</f>
        <v>441.2</v>
      </c>
    </row>
    <row r="758" spans="2:6" x14ac:dyDescent="0.35">
      <c r="B758" s="13" t="s">
        <v>190</v>
      </c>
      <c r="C758" s="15" t="str">
        <f t="shared" si="11"/>
        <v>Usman Khan</v>
      </c>
      <c r="D758" s="17">
        <v>0</v>
      </c>
      <c r="E758" s="15">
        <f>IFERROR(IF(Raw_Data!N754="", 0, IF(Raw_Data!N754&gt;1, Raw_Data!N754/100, Raw_Data!N754)), 0)</f>
        <v>0</v>
      </c>
      <c r="F758" s="15">
        <f>IFERROR(VALUE(Raw_Data!O754), Raw_Data!L754*Raw_Data!M754)</f>
        <v>2107.96</v>
      </c>
    </row>
    <row r="759" spans="2:6" x14ac:dyDescent="0.35">
      <c r="B759" s="13" t="s">
        <v>110</v>
      </c>
      <c r="C759" s="15" t="str">
        <f t="shared" si="11"/>
        <v>Omar Chaudhry</v>
      </c>
      <c r="D759" s="17">
        <v>0.2</v>
      </c>
      <c r="E759" s="15">
        <f>IFERROR(IF(Raw_Data!N755="", 0, IF(Raw_Data!N755&gt;1, Raw_Data!N755/100, Raw_Data!N755)), 0)</f>
        <v>0.2</v>
      </c>
      <c r="F759" s="15">
        <f>IFERROR(VALUE(Raw_Data!O755), Raw_Data!L755*Raw_Data!M755)</f>
        <v>1760.16</v>
      </c>
    </row>
    <row r="760" spans="2:6" x14ac:dyDescent="0.35">
      <c r="B760" s="13" t="s">
        <v>149</v>
      </c>
      <c r="C760" s="15" t="str">
        <f t="shared" si="11"/>
        <v>Usman Butt</v>
      </c>
      <c r="D760" s="17">
        <v>0</v>
      </c>
      <c r="E760" s="15">
        <f>IFERROR(IF(Raw_Data!N756="", 0, IF(Raw_Data!N756&gt;1, Raw_Data!N756/100, Raw_Data!N756)), 0)</f>
        <v>0</v>
      </c>
      <c r="F760" s="15">
        <f>IFERROR(VALUE(Raw_Data!O756), Raw_Data!L756*Raw_Data!M756)</f>
        <v>1385.84</v>
      </c>
    </row>
    <row r="761" spans="2:6" x14ac:dyDescent="0.35">
      <c r="B761" s="13" t="s">
        <v>279</v>
      </c>
      <c r="C761" s="15" t="str">
        <f t="shared" si="11"/>
        <v>Sana Malik</v>
      </c>
      <c r="D761" s="17">
        <v>0</v>
      </c>
      <c r="E761" s="15">
        <f>IFERROR(IF(Raw_Data!N757="", 0, IF(Raw_Data!N757&gt;1, Raw_Data!N757/100, Raw_Data!N757)), 0)</f>
        <v>0</v>
      </c>
      <c r="F761" s="15">
        <f>IFERROR(VALUE(Raw_Data!O757), Raw_Data!L757*Raw_Data!M757)</f>
        <v>586.58000000000004</v>
      </c>
    </row>
    <row r="762" spans="2:6" x14ac:dyDescent="0.35">
      <c r="B762" s="13" t="s">
        <v>1079</v>
      </c>
      <c r="C762" s="15" t="str">
        <f t="shared" si="11"/>
        <v>Nida Qureshi</v>
      </c>
      <c r="D762" s="17">
        <v>0</v>
      </c>
      <c r="E762" s="15">
        <f>IFERROR(IF(Raw_Data!N758="", 0, IF(Raw_Data!N758&gt;1, Raw_Data!N758/100, Raw_Data!N758)), 0)</f>
        <v>0</v>
      </c>
      <c r="F762" s="15">
        <f>IFERROR(VALUE(Raw_Data!O758), Raw_Data!L758*Raw_Data!M758)</f>
        <v>151.80000000000001</v>
      </c>
    </row>
    <row r="763" spans="2:6" x14ac:dyDescent="0.35">
      <c r="B763" s="13" t="s">
        <v>269</v>
      </c>
      <c r="C763" s="15" t="str">
        <f t="shared" si="11"/>
        <v>Imran Khan</v>
      </c>
      <c r="D763" s="17">
        <v>0</v>
      </c>
      <c r="E763" s="15">
        <f>IFERROR(IF(Raw_Data!N759="", 0, IF(Raw_Data!N759&gt;1, Raw_Data!N759/100, Raw_Data!N759)), 0)</f>
        <v>0</v>
      </c>
      <c r="F763" s="15">
        <f>IFERROR(VALUE(Raw_Data!O759), Raw_Data!L759*Raw_Data!M759)</f>
        <v>3759.75</v>
      </c>
    </row>
    <row r="764" spans="2:6" x14ac:dyDescent="0.35">
      <c r="B764" s="13" t="s">
        <v>221</v>
      </c>
      <c r="C764" s="15" t="str">
        <f t="shared" si="11"/>
        <v>Bilal Chaudhry</v>
      </c>
      <c r="D764" s="17">
        <v>0.2</v>
      </c>
      <c r="E764" s="15">
        <f>IFERROR(IF(Raw_Data!N760="", 0, IF(Raw_Data!N760&gt;1, Raw_Data!N760/100, Raw_Data!N760)), 0)</f>
        <v>0.2</v>
      </c>
      <c r="F764" s="15">
        <f>IFERROR(VALUE(Raw_Data!O760), Raw_Data!L760*Raw_Data!M760)</f>
        <v>72.010000000000005</v>
      </c>
    </row>
    <row r="765" spans="2:6" x14ac:dyDescent="0.35">
      <c r="B765" s="13" t="s">
        <v>146</v>
      </c>
      <c r="C765" s="15" t="str">
        <f t="shared" si="11"/>
        <v>Fatima Iqbal</v>
      </c>
      <c r="D765" s="17">
        <v>0.15</v>
      </c>
      <c r="E765" s="15">
        <f>IFERROR(IF(Raw_Data!N761="", 0, IF(Raw_Data!N761&gt;1, Raw_Data!N761/100, Raw_Data!N761)), 0)</f>
        <v>0.15</v>
      </c>
      <c r="F765" s="15">
        <f>IFERROR(VALUE(Raw_Data!O761), Raw_Data!L761*Raw_Data!M761)</f>
        <v>567.48</v>
      </c>
    </row>
    <row r="766" spans="2:6" x14ac:dyDescent="0.35">
      <c r="B766" s="13" t="s">
        <v>169</v>
      </c>
      <c r="C766" s="15" t="str">
        <f t="shared" si="11"/>
        <v>Kamran Ansari</v>
      </c>
      <c r="D766" s="17">
        <v>0.15</v>
      </c>
      <c r="E766" s="15">
        <f>IFERROR(IF(Raw_Data!N762="", 0, IF(Raw_Data!N762&gt;1, Raw_Data!N762/100, Raw_Data!N762)), 0)</f>
        <v>0.15</v>
      </c>
      <c r="F766" s="15">
        <f>IFERROR(VALUE(Raw_Data!O762), Raw_Data!L762*Raw_Data!M762)</f>
        <v>6116.46</v>
      </c>
    </row>
    <row r="767" spans="2:6" x14ac:dyDescent="0.35">
      <c r="B767" s="13" t="s">
        <v>202</v>
      </c>
      <c r="C767" s="15" t="str">
        <f t="shared" si="11"/>
        <v>Kamran Qureshi</v>
      </c>
      <c r="D767" s="17">
        <v>0</v>
      </c>
      <c r="E767" s="15">
        <f>IFERROR(IF(Raw_Data!N763="", 0, IF(Raw_Data!N763&gt;1, Raw_Data!N763/100, Raw_Data!N763)), 0)</f>
        <v>0</v>
      </c>
      <c r="F767" s="15">
        <f>IFERROR(VALUE(Raw_Data!O763), Raw_Data!L763*Raw_Data!M763)</f>
        <v>1688.72</v>
      </c>
    </row>
    <row r="768" spans="2:6" x14ac:dyDescent="0.35">
      <c r="B768" s="13" t="s">
        <v>324</v>
      </c>
      <c r="C768" s="15" t="str">
        <f t="shared" si="11"/>
        <v>Hassan Butt</v>
      </c>
      <c r="D768" s="17">
        <v>0</v>
      </c>
      <c r="E768" s="15">
        <f>IFERROR(IF(Raw_Data!N764="", 0, IF(Raw_Data!N764&gt;1, Raw_Data!N764/100, Raw_Data!N764)), 0)</f>
        <v>0</v>
      </c>
      <c r="F768" s="15">
        <f>IFERROR(VALUE(Raw_Data!O764), Raw_Data!L764*Raw_Data!M764)</f>
        <v>116.91</v>
      </c>
    </row>
    <row r="769" spans="2:6" x14ac:dyDescent="0.35">
      <c r="B769" s="13" t="s">
        <v>758</v>
      </c>
      <c r="C769" s="15" t="str">
        <f t="shared" si="11"/>
        <v>Sara Farooq</v>
      </c>
      <c r="D769" s="17">
        <v>0.15</v>
      </c>
      <c r="E769" s="15">
        <f>IFERROR(IF(Raw_Data!N765="", 0, IF(Raw_Data!N765&gt;1, Raw_Data!N765/100, Raw_Data!N765)), 0)</f>
        <v>0.15</v>
      </c>
      <c r="F769" s="15">
        <f>IFERROR(VALUE(Raw_Data!O765), Raw_Data!L765*Raw_Data!M765)</f>
        <v>1760.6</v>
      </c>
    </row>
    <row r="770" spans="2:6" x14ac:dyDescent="0.35">
      <c r="B770" s="13" t="s">
        <v>251</v>
      </c>
      <c r="C770" s="15" t="str">
        <f t="shared" si="11"/>
        <v>Hina Qureshi</v>
      </c>
      <c r="D770" s="17">
        <v>0</v>
      </c>
      <c r="E770" s="15">
        <f>IFERROR(IF(Raw_Data!N766="", 0, IF(Raw_Data!N766&gt;1, Raw_Data!N766/100, Raw_Data!N766)), 0)</f>
        <v>0</v>
      </c>
      <c r="F770" s="15">
        <f>IFERROR(VALUE(Raw_Data!O766), Raw_Data!L766*Raw_Data!M766)</f>
        <v>1725.99</v>
      </c>
    </row>
    <row r="771" spans="2:6" x14ac:dyDescent="0.35">
      <c r="B771" s="13" t="s">
        <v>279</v>
      </c>
      <c r="C771" s="15" t="str">
        <f t="shared" si="11"/>
        <v>Sana Malik</v>
      </c>
      <c r="D771" s="17">
        <v>0</v>
      </c>
      <c r="E771" s="15">
        <f>IFERROR(IF(Raw_Data!N767="", 0, IF(Raw_Data!N767&gt;1, Raw_Data!N767/100, Raw_Data!N767)), 0)</f>
        <v>0</v>
      </c>
      <c r="F771" s="15">
        <f>IFERROR(VALUE(Raw_Data!O767), Raw_Data!L767*Raw_Data!M767)</f>
        <v>1475.74</v>
      </c>
    </row>
    <row r="772" spans="2:6" x14ac:dyDescent="0.35">
      <c r="B772" s="13" t="s">
        <v>291</v>
      </c>
      <c r="C772" s="15" t="str">
        <f t="shared" si="11"/>
        <v>Nida Farooq</v>
      </c>
      <c r="D772" s="17">
        <v>0.2</v>
      </c>
      <c r="E772" s="15">
        <f>IFERROR(IF(Raw_Data!N768="", 0, IF(Raw_Data!N768&gt;1, Raw_Data!N768/100, Raw_Data!N768)), 0)</f>
        <v>0.2</v>
      </c>
      <c r="F772" s="15">
        <f>IFERROR(VALUE(Raw_Data!O768), Raw_Data!L768*Raw_Data!M768)</f>
        <v>1563.59</v>
      </c>
    </row>
    <row r="773" spans="2:6" x14ac:dyDescent="0.35">
      <c r="B773" s="13" t="s">
        <v>381</v>
      </c>
      <c r="C773" s="15" t="str">
        <f t="shared" si="11"/>
        <v>Usman Malik</v>
      </c>
      <c r="D773" s="17">
        <v>0.3</v>
      </c>
      <c r="E773" s="15">
        <f>IFERROR(IF(Raw_Data!N769="", 0, IF(Raw_Data!N769&gt;1, Raw_Data!N769/100, Raw_Data!N769)), 0)</f>
        <v>0.3</v>
      </c>
      <c r="F773" s="15">
        <f>IFERROR(VALUE(Raw_Data!O769), Raw_Data!L769*Raw_Data!M769)</f>
        <v>840.07</v>
      </c>
    </row>
    <row r="774" spans="2:6" x14ac:dyDescent="0.35">
      <c r="B774" s="13" t="s">
        <v>225</v>
      </c>
      <c r="C774" s="15" t="str">
        <f t="shared" si="11"/>
        <v>Rabia Chaudhry</v>
      </c>
      <c r="D774" s="17">
        <v>0.15</v>
      </c>
      <c r="E774" s="15">
        <f>IFERROR(IF(Raw_Data!N770="", 0, IF(Raw_Data!N770&gt;1, Raw_Data!N770/100, Raw_Data!N770)), 0)</f>
        <v>0.15</v>
      </c>
      <c r="F774" s="15">
        <f>IFERROR(VALUE(Raw_Data!O770), Raw_Data!L770*Raw_Data!M770)</f>
        <v>3741.36</v>
      </c>
    </row>
    <row r="775" spans="2:6" x14ac:dyDescent="0.35">
      <c r="B775" s="13" t="s">
        <v>1093</v>
      </c>
      <c r="C775" s="15" t="str">
        <f t="shared" ref="C775:C838" si="12">IF(OR(B775="",B775=0), "Unknown Customer", PROPER(TRIM(B775)))</f>
        <v>Ayesha Raza</v>
      </c>
      <c r="D775" s="17">
        <v>0</v>
      </c>
      <c r="E775" s="15">
        <f>IFERROR(IF(Raw_Data!N771="", 0, IF(Raw_Data!N771&gt;1, Raw_Data!N771/100, Raw_Data!N771)), 0)</f>
        <v>0</v>
      </c>
      <c r="F775" s="15">
        <f>IFERROR(VALUE(Raw_Data!O771), Raw_Data!L771*Raw_Data!M771)</f>
        <v>1112.1600000000001</v>
      </c>
    </row>
    <row r="776" spans="2:6" x14ac:dyDescent="0.35">
      <c r="B776" s="13" t="s">
        <v>163</v>
      </c>
      <c r="C776" s="15" t="str">
        <f t="shared" si="12"/>
        <v>Bilal Butt</v>
      </c>
      <c r="D776" s="17">
        <v>0</v>
      </c>
      <c r="E776" s="15">
        <f>IFERROR(IF(Raw_Data!N772="", 0, IF(Raw_Data!N772&gt;1, Raw_Data!N772/100, Raw_Data!N772)), 0)</f>
        <v>0</v>
      </c>
      <c r="F776" s="15">
        <f>IFERROR(VALUE(Raw_Data!O772), Raw_Data!L772*Raw_Data!M772)</f>
        <v>611.04</v>
      </c>
    </row>
    <row r="777" spans="2:6" x14ac:dyDescent="0.35">
      <c r="B777" s="13" t="s">
        <v>26</v>
      </c>
      <c r="C777" s="15" t="str">
        <f t="shared" si="12"/>
        <v>Fatima Raza</v>
      </c>
      <c r="D777" s="17">
        <v>0.2</v>
      </c>
      <c r="E777" s="15">
        <f>IFERROR(IF(Raw_Data!N773="", 0, IF(Raw_Data!N773&gt;1, Raw_Data!N773/100, Raw_Data!N773)), 0)</f>
        <v>0.2</v>
      </c>
      <c r="F777" s="15">
        <f>IFERROR(VALUE(Raw_Data!O773), Raw_Data!L773*Raw_Data!M773)</f>
        <v>378.29</v>
      </c>
    </row>
    <row r="778" spans="2:6" x14ac:dyDescent="0.35">
      <c r="B778" s="13" t="s">
        <v>737</v>
      </c>
      <c r="C778" s="15" t="str">
        <f t="shared" si="12"/>
        <v>Hassan Ansari</v>
      </c>
      <c r="D778" s="17">
        <v>0</v>
      </c>
      <c r="E778" s="15">
        <f>IFERROR(IF(Raw_Data!N774="", 0, IF(Raw_Data!N774&gt;1, Raw_Data!N774/100, Raw_Data!N774)), 0)</f>
        <v>0</v>
      </c>
      <c r="F778" s="15">
        <f>IFERROR(VALUE(Raw_Data!O774), Raw_Data!L774*Raw_Data!M774)</f>
        <v>2810.8</v>
      </c>
    </row>
    <row r="779" spans="2:6" x14ac:dyDescent="0.35">
      <c r="B779" s="13" t="s">
        <v>465</v>
      </c>
      <c r="C779" s="15" t="str">
        <f t="shared" si="12"/>
        <v>Ali Ansari</v>
      </c>
      <c r="D779" s="17">
        <v>0.1</v>
      </c>
      <c r="E779" s="15">
        <f>IFERROR(IF(Raw_Data!N775="", 0, IF(Raw_Data!N775&gt;1, Raw_Data!N775/100, Raw_Data!N775)), 0)</f>
        <v>0.1</v>
      </c>
      <c r="F779" s="15">
        <f>IFERROR(VALUE(Raw_Data!O775), Raw_Data!L775*Raw_Data!M775)</f>
        <v>1028.8800000000001</v>
      </c>
    </row>
    <row r="780" spans="2:6" x14ac:dyDescent="0.35">
      <c r="B780" s="13" t="s">
        <v>255</v>
      </c>
      <c r="C780" s="15" t="str">
        <f t="shared" si="12"/>
        <v>Tariq Ansari</v>
      </c>
      <c r="D780" s="17">
        <v>0</v>
      </c>
      <c r="E780" s="15">
        <f>IFERROR(IF(Raw_Data!N776="", 0, IF(Raw_Data!N776&gt;1, Raw_Data!N776/100, Raw_Data!N776)), 0)</f>
        <v>0</v>
      </c>
      <c r="F780" s="15">
        <f>IFERROR(VALUE(Raw_Data!O776), Raw_Data!L776*Raw_Data!M776)</f>
        <v>3110.85</v>
      </c>
    </row>
    <row r="781" spans="2:6" x14ac:dyDescent="0.35">
      <c r="B781" s="13" t="s">
        <v>303</v>
      </c>
      <c r="C781" s="15" t="str">
        <f t="shared" si="12"/>
        <v>Faisal Sheikh</v>
      </c>
      <c r="D781" s="17">
        <v>0</v>
      </c>
      <c r="E781" s="15">
        <f>IFERROR(IF(Raw_Data!N777="", 0, IF(Raw_Data!N777&gt;1, Raw_Data!N777/100, Raw_Data!N777)), 0)</f>
        <v>0</v>
      </c>
      <c r="F781" s="15">
        <f>IFERROR(VALUE(Raw_Data!O777), Raw_Data!L777*Raw_Data!M777)</f>
        <v>7935.21</v>
      </c>
    </row>
    <row r="782" spans="2:6" x14ac:dyDescent="0.35">
      <c r="B782" s="13" t="s">
        <v>337</v>
      </c>
      <c r="C782" s="15" t="str">
        <f t="shared" si="12"/>
        <v>Usman Ansari</v>
      </c>
      <c r="D782" s="17">
        <v>0</v>
      </c>
      <c r="E782" s="15">
        <f>IFERROR(IF(Raw_Data!N778="", 0, IF(Raw_Data!N778&gt;1, Raw_Data!N778/100, Raw_Data!N778)), 0)</f>
        <v>0</v>
      </c>
      <c r="F782" s="15">
        <f>IFERROR(VALUE(Raw_Data!O778), Raw_Data!L778*Raw_Data!M778)</f>
        <v>3231.63</v>
      </c>
    </row>
    <row r="783" spans="2:6" x14ac:dyDescent="0.35">
      <c r="B783" s="13" t="s">
        <v>50</v>
      </c>
      <c r="C783" s="15" t="str">
        <f t="shared" si="12"/>
        <v>Omar Raza</v>
      </c>
      <c r="D783" s="17">
        <v>0</v>
      </c>
      <c r="E783" s="15">
        <f>IFERROR(IF(Raw_Data!N779="", 0, IF(Raw_Data!N779&gt;1, Raw_Data!N779/100, Raw_Data!N779)), 0)</f>
        <v>0</v>
      </c>
      <c r="F783" s="15">
        <f>IFERROR(VALUE(Raw_Data!O779), Raw_Data!L779*Raw_Data!M779)</f>
        <v>5386.2</v>
      </c>
    </row>
    <row r="784" spans="2:6" x14ac:dyDescent="0.35">
      <c r="B784" s="13" t="s">
        <v>675</v>
      </c>
      <c r="C784" s="15" t="str">
        <f t="shared" si="12"/>
        <v>Hina Ansari</v>
      </c>
      <c r="D784" s="17">
        <v>0</v>
      </c>
      <c r="E784" s="15">
        <f>IFERROR(IF(Raw_Data!N780="", 0, IF(Raw_Data!N780&gt;1, Raw_Data!N780/100, Raw_Data!N780)), 0)</f>
        <v>0</v>
      </c>
      <c r="F784" s="15">
        <f>IFERROR(VALUE(Raw_Data!O780), Raw_Data!L780*Raw_Data!M780)</f>
        <v>307.45</v>
      </c>
    </row>
    <row r="785" spans="2:6" x14ac:dyDescent="0.35">
      <c r="B785" s="13" t="s">
        <v>193</v>
      </c>
      <c r="C785" s="15" t="str">
        <f t="shared" si="12"/>
        <v>Sana Butt</v>
      </c>
      <c r="D785" s="17">
        <v>0.3</v>
      </c>
      <c r="E785" s="15">
        <f>IFERROR(IF(Raw_Data!N781="", 0, IF(Raw_Data!N781&gt;1, Raw_Data!N781/100, Raw_Data!N781)), 0)</f>
        <v>0.3</v>
      </c>
      <c r="F785" s="15">
        <f>IFERROR(VALUE(Raw_Data!O781), Raw_Data!L781*Raw_Data!M781)</f>
        <v>5914.24</v>
      </c>
    </row>
    <row r="786" spans="2:6" x14ac:dyDescent="0.35">
      <c r="B786" s="13" t="s">
        <v>337</v>
      </c>
      <c r="C786" s="15" t="str">
        <f t="shared" si="12"/>
        <v>Usman Ansari</v>
      </c>
      <c r="D786" s="17">
        <v>0</v>
      </c>
      <c r="E786" s="15">
        <f>IFERROR(IF(Raw_Data!N782="", 0, IF(Raw_Data!N782&gt;1, Raw_Data!N782/100, Raw_Data!N782)), 0)</f>
        <v>0</v>
      </c>
      <c r="F786" s="15">
        <f>IFERROR(VALUE(Raw_Data!O782), Raw_Data!L782*Raw_Data!M782)</f>
        <v>858.9</v>
      </c>
    </row>
    <row r="787" spans="2:6" x14ac:dyDescent="0.35">
      <c r="B787" s="13" t="s">
        <v>314</v>
      </c>
      <c r="C787" s="15" t="str">
        <f t="shared" si="12"/>
        <v>Sara Butt</v>
      </c>
      <c r="D787" s="17">
        <v>0</v>
      </c>
      <c r="E787" s="15">
        <f>IFERROR(IF(Raw_Data!N783="", 0, IF(Raw_Data!N783&gt;1, Raw_Data!N783/100, Raw_Data!N783)), 0)</f>
        <v>0</v>
      </c>
      <c r="F787" s="15">
        <f>IFERROR(VALUE(Raw_Data!O783), Raw_Data!L783*Raw_Data!M783)</f>
        <v>1255.56</v>
      </c>
    </row>
    <row r="788" spans="2:6" x14ac:dyDescent="0.35">
      <c r="B788" s="13" t="s">
        <v>397</v>
      </c>
      <c r="C788" s="15" t="str">
        <f t="shared" si="12"/>
        <v>Rabia Khan</v>
      </c>
      <c r="D788" s="17">
        <v>0.2</v>
      </c>
      <c r="E788" s="15">
        <f>IFERROR(IF(Raw_Data!N784="", 0, IF(Raw_Data!N784&gt;1, Raw_Data!N784/100, Raw_Data!N784)), 0)</f>
        <v>0.2</v>
      </c>
      <c r="F788" s="15">
        <f>IFERROR(VALUE(Raw_Data!O784), Raw_Data!L784*Raw_Data!M784)</f>
        <v>39.83</v>
      </c>
    </row>
    <row r="789" spans="2:6" x14ac:dyDescent="0.35">
      <c r="B789" s="13" t="s">
        <v>114</v>
      </c>
      <c r="C789" s="15" t="str">
        <f t="shared" si="12"/>
        <v>Imran Malik</v>
      </c>
      <c r="D789" s="17">
        <v>0.3</v>
      </c>
      <c r="E789" s="15">
        <f>IFERROR(IF(Raw_Data!N785="", 0, IF(Raw_Data!N785&gt;1, Raw_Data!N785/100, Raw_Data!N785)), 0)</f>
        <v>0.3</v>
      </c>
      <c r="F789" s="15">
        <f>IFERROR(VALUE(Raw_Data!O785), Raw_Data!L785*Raw_Data!M785)</f>
        <v>6145.59</v>
      </c>
    </row>
    <row r="790" spans="2:6" x14ac:dyDescent="0.35">
      <c r="B790" s="13" t="s">
        <v>1108</v>
      </c>
      <c r="C790" s="15" t="str">
        <f t="shared" si="12"/>
        <v>Adeel Butt</v>
      </c>
      <c r="D790" s="17">
        <v>0.15</v>
      </c>
      <c r="E790" s="15">
        <f>IFERROR(IF(Raw_Data!N786="", 0, IF(Raw_Data!N786&gt;1, Raw_Data!N786/100, Raw_Data!N786)), 0)</f>
        <v>0.15</v>
      </c>
      <c r="F790" s="15">
        <f>IFERROR(VALUE(Raw_Data!O786), Raw_Data!L786*Raw_Data!M786)</f>
        <v>7746.3</v>
      </c>
    </row>
    <row r="791" spans="2:6" x14ac:dyDescent="0.35">
      <c r="B791" s="13" t="s">
        <v>510</v>
      </c>
      <c r="C791" s="15" t="str">
        <f t="shared" si="12"/>
        <v>Hassan Iqbal</v>
      </c>
      <c r="D791" s="17">
        <v>0.1</v>
      </c>
      <c r="E791" s="15">
        <f>IFERROR(IF(Raw_Data!N787="", 0, IF(Raw_Data!N787&gt;1, Raw_Data!N787/100, Raw_Data!N787)), 0)</f>
        <v>0.1</v>
      </c>
      <c r="F791" s="15">
        <f>IFERROR(VALUE(Raw_Data!O787), Raw_Data!L787*Raw_Data!M787)</f>
        <v>618.6</v>
      </c>
    </row>
    <row r="792" spans="2:6" x14ac:dyDescent="0.35">
      <c r="B792" s="13" t="s">
        <v>784</v>
      </c>
      <c r="C792" s="15" t="str">
        <f t="shared" si="12"/>
        <v>Faisal Chaudhry</v>
      </c>
      <c r="D792" s="17">
        <v>0.2</v>
      </c>
      <c r="E792" s="15">
        <f>IFERROR(IF(Raw_Data!N788="", 0, IF(Raw_Data!N788&gt;1, Raw_Data!N788/100, Raw_Data!N788)), 0)</f>
        <v>0.2</v>
      </c>
      <c r="F792" s="15">
        <f>IFERROR(VALUE(Raw_Data!O788), Raw_Data!L788*Raw_Data!M788)</f>
        <v>3271.2</v>
      </c>
    </row>
    <row r="793" spans="2:6" x14ac:dyDescent="0.35">
      <c r="B793" s="13" t="s">
        <v>139</v>
      </c>
      <c r="C793" s="15" t="str">
        <f t="shared" si="12"/>
        <v>Tariq Malik</v>
      </c>
      <c r="D793" s="17">
        <v>0</v>
      </c>
      <c r="E793" s="15">
        <f>IFERROR(IF(Raw_Data!N789="", 0, IF(Raw_Data!N789&gt;1, Raw_Data!N789/100, Raw_Data!N789)), 0)</f>
        <v>0</v>
      </c>
      <c r="F793" s="15">
        <f>IFERROR(VALUE(Raw_Data!O789), Raw_Data!L789*Raw_Data!M789)</f>
        <v>2415.2399999999998</v>
      </c>
    </row>
    <row r="794" spans="2:6" x14ac:dyDescent="0.35">
      <c r="B794" s="13" t="s">
        <v>363</v>
      </c>
      <c r="C794" s="15" t="str">
        <f t="shared" si="12"/>
        <v>Bilal Iqbal</v>
      </c>
      <c r="D794" s="17">
        <v>0</v>
      </c>
      <c r="E794" s="15">
        <f>IFERROR(IF(Raw_Data!N790="", 0, IF(Raw_Data!N790&gt;1, Raw_Data!N790/100, Raw_Data!N790)), 0)</f>
        <v>0</v>
      </c>
      <c r="F794" s="15">
        <f>IFERROR(VALUE(Raw_Data!O790), Raw_Data!L790*Raw_Data!M790)</f>
        <v>7045.04</v>
      </c>
    </row>
    <row r="795" spans="2:6" x14ac:dyDescent="0.35">
      <c r="B795" s="13" t="s">
        <v>474</v>
      </c>
      <c r="C795" s="15" t="str">
        <f t="shared" si="12"/>
        <v>Ayesha Chaudhry</v>
      </c>
      <c r="D795" s="17">
        <v>0.15</v>
      </c>
      <c r="E795" s="15">
        <f>IFERROR(IF(Raw_Data!N791="", 0, IF(Raw_Data!N791&gt;1, Raw_Data!N791/100, Raw_Data!N791)), 0)</f>
        <v>0.15</v>
      </c>
      <c r="F795" s="15">
        <f>IFERROR(VALUE(Raw_Data!O791), Raw_Data!L791*Raw_Data!M791)</f>
        <v>8547.66</v>
      </c>
    </row>
    <row r="796" spans="2:6" x14ac:dyDescent="0.35">
      <c r="B796" s="13" t="s">
        <v>71</v>
      </c>
      <c r="C796" s="15" t="str">
        <f t="shared" si="12"/>
        <v>Nida Khan</v>
      </c>
      <c r="D796" s="17">
        <v>0</v>
      </c>
      <c r="E796" s="15">
        <f>IFERROR(IF(Raw_Data!N792="", 0, IF(Raw_Data!N792&gt;1, Raw_Data!N792/100, Raw_Data!N792)), 0)</f>
        <v>0</v>
      </c>
      <c r="F796" s="15">
        <f>IFERROR(VALUE(Raw_Data!O792), Raw_Data!L792*Raw_Data!M792)</f>
        <v>6910.74</v>
      </c>
    </row>
    <row r="797" spans="2:6" x14ac:dyDescent="0.35">
      <c r="B797" s="13" t="s">
        <v>403</v>
      </c>
      <c r="C797" s="15" t="str">
        <f t="shared" si="12"/>
        <v>Adeel Ansari</v>
      </c>
      <c r="D797" s="17">
        <v>0.15</v>
      </c>
      <c r="E797" s="15">
        <f>IFERROR(IF(Raw_Data!N793="", 0, IF(Raw_Data!N793&gt;1, Raw_Data!N793/100, Raw_Data!N793)), 0)</f>
        <v>0.15</v>
      </c>
      <c r="F797" s="15">
        <f>IFERROR(VALUE(Raw_Data!O793), Raw_Data!L793*Raw_Data!M793)</f>
        <v>6830.7</v>
      </c>
    </row>
    <row r="798" spans="2:6" x14ac:dyDescent="0.35">
      <c r="B798" s="13" t="s">
        <v>503</v>
      </c>
      <c r="C798" s="15" t="str">
        <f t="shared" si="12"/>
        <v>Nida Raza</v>
      </c>
      <c r="D798" s="17">
        <v>0.1</v>
      </c>
      <c r="E798" s="15">
        <f>IFERROR(IF(Raw_Data!N794="", 0, IF(Raw_Data!N794&gt;1, Raw_Data!N794/100, Raw_Data!N794)), 0)</f>
        <v>0.1</v>
      </c>
      <c r="F798" s="15">
        <f>IFERROR(VALUE(Raw_Data!O794), Raw_Data!L794*Raw_Data!M794)</f>
        <v>2644.44</v>
      </c>
    </row>
    <row r="799" spans="2:6" x14ac:dyDescent="0.35">
      <c r="B799" s="13" t="s">
        <v>312</v>
      </c>
      <c r="C799" s="15" t="str">
        <f t="shared" si="12"/>
        <v>Usman Chaudhry</v>
      </c>
      <c r="D799" s="17">
        <v>0</v>
      </c>
      <c r="E799" s="15">
        <f>IFERROR(IF(Raw_Data!N795="", 0, IF(Raw_Data!N795&gt;1, Raw_Data!N795/100, Raw_Data!N795)), 0)</f>
        <v>0</v>
      </c>
      <c r="F799" s="15">
        <f>IFERROR(VALUE(Raw_Data!O795), Raw_Data!L795*Raw_Data!M795)</f>
        <v>2907.48</v>
      </c>
    </row>
    <row r="800" spans="2:6" x14ac:dyDescent="0.35">
      <c r="B800" s="13" t="s">
        <v>243</v>
      </c>
      <c r="C800" s="15" t="str">
        <f t="shared" si="12"/>
        <v>Zara Khan</v>
      </c>
      <c r="D800" s="17">
        <v>0.2</v>
      </c>
      <c r="E800" s="15">
        <f>IFERROR(IF(Raw_Data!N796="", 0, IF(Raw_Data!N796&gt;1, Raw_Data!N796/100, Raw_Data!N796)), 0)</f>
        <v>0.2</v>
      </c>
      <c r="F800" s="15">
        <f>IFERROR(VALUE(Raw_Data!O796), Raw_Data!L796*Raw_Data!M796)</f>
        <v>2231.7600000000002</v>
      </c>
    </row>
    <row r="801" spans="2:6" x14ac:dyDescent="0.35">
      <c r="B801" s="13" t="s">
        <v>708</v>
      </c>
      <c r="C801" s="15" t="str">
        <f t="shared" si="12"/>
        <v>Ahmed Sheikh</v>
      </c>
      <c r="D801" s="17">
        <v>0.1</v>
      </c>
      <c r="E801" s="15">
        <f>IFERROR(IF(Raw_Data!N797="", 0, IF(Raw_Data!N797&gt;1, Raw_Data!N797/100, Raw_Data!N797)), 0)</f>
        <v>0.1</v>
      </c>
      <c r="F801" s="15">
        <f>IFERROR(VALUE(Raw_Data!O797), Raw_Data!L797*Raw_Data!M797)</f>
        <v>207.87</v>
      </c>
    </row>
    <row r="802" spans="2:6" x14ac:dyDescent="0.35">
      <c r="B802" s="13" t="s">
        <v>406</v>
      </c>
      <c r="C802" s="15" t="str">
        <f t="shared" si="12"/>
        <v>Ali Khan</v>
      </c>
      <c r="D802" s="17">
        <v>0.15</v>
      </c>
      <c r="E802" s="15">
        <f>IFERROR(IF(Raw_Data!N798="", 0, IF(Raw_Data!N798&gt;1, Raw_Data!N798/100, Raw_Data!N798)), 0)</f>
        <v>0.15</v>
      </c>
      <c r="F802" s="15">
        <f>IFERROR(VALUE(Raw_Data!O798), Raw_Data!L798*Raw_Data!M798)</f>
        <v>1386.64</v>
      </c>
    </row>
    <row r="803" spans="2:6" x14ac:dyDescent="0.35">
      <c r="B803" s="13" t="s">
        <v>169</v>
      </c>
      <c r="C803" s="15" t="str">
        <f t="shared" si="12"/>
        <v>Kamran Ansari</v>
      </c>
      <c r="D803" s="17">
        <v>0.15</v>
      </c>
      <c r="E803" s="15">
        <f>IFERROR(IF(Raw_Data!N799="", 0, IF(Raw_Data!N799&gt;1, Raw_Data!N799/100, Raw_Data!N799)), 0)</f>
        <v>0.15</v>
      </c>
      <c r="F803" s="15">
        <f>IFERROR(VALUE(Raw_Data!O799), Raw_Data!L799*Raw_Data!M799)</f>
        <v>6116.46</v>
      </c>
    </row>
    <row r="804" spans="2:6" x14ac:dyDescent="0.35">
      <c r="B804" s="13" t="s">
        <v>442</v>
      </c>
      <c r="C804" s="15" t="str">
        <f t="shared" si="12"/>
        <v>Kamran Iqbal</v>
      </c>
      <c r="D804" s="17">
        <v>0.1</v>
      </c>
      <c r="E804" s="15">
        <f>IFERROR(IF(Raw_Data!N800="", 0, IF(Raw_Data!N800&gt;1, Raw_Data!N800/100, Raw_Data!N800)), 0)</f>
        <v>0.1</v>
      </c>
      <c r="F804" s="15">
        <f>IFERROR(VALUE(Raw_Data!O800), Raw_Data!L800*Raw_Data!M800)</f>
        <v>670.68</v>
      </c>
    </row>
    <row r="805" spans="2:6" x14ac:dyDescent="0.35">
      <c r="B805" s="13" t="s">
        <v>1123</v>
      </c>
      <c r="C805" s="15" t="str">
        <f t="shared" si="12"/>
        <v>Sana Ansari</v>
      </c>
      <c r="D805" s="17">
        <v>0</v>
      </c>
      <c r="E805" s="15">
        <f>IFERROR(IF(Raw_Data!N801="", 0, IF(Raw_Data!N801&gt;1, Raw_Data!N801/100, Raw_Data!N801)), 0)</f>
        <v>0</v>
      </c>
      <c r="F805" s="15">
        <f>IFERROR(VALUE(Raw_Data!O801), Raw_Data!L801*Raw_Data!M801)</f>
        <v>4172.67</v>
      </c>
    </row>
    <row r="806" spans="2:6" x14ac:dyDescent="0.35">
      <c r="B806" s="13" t="s">
        <v>263</v>
      </c>
      <c r="C806" s="15" t="str">
        <f t="shared" si="12"/>
        <v>Ayesha Qureshi</v>
      </c>
      <c r="D806" s="17">
        <v>0</v>
      </c>
      <c r="E806" s="15">
        <f>IFERROR(IF(Raw_Data!N802="", 0, IF(Raw_Data!N802&gt;1, Raw_Data!N802/100, Raw_Data!N802)), 0)</f>
        <v>0</v>
      </c>
      <c r="F806" s="15">
        <f>IFERROR(VALUE(Raw_Data!O802), Raw_Data!L802*Raw_Data!M802)</f>
        <v>2670.16</v>
      </c>
    </row>
    <row r="807" spans="2:6" x14ac:dyDescent="0.35">
      <c r="B807" s="13" t="s">
        <v>368</v>
      </c>
      <c r="C807" s="15" t="str">
        <f t="shared" si="12"/>
        <v>Hassan Khan</v>
      </c>
      <c r="D807" s="17">
        <v>0.3</v>
      </c>
      <c r="E807" s="15">
        <f>IFERROR(IF(Raw_Data!N803="", 0, IF(Raw_Data!N803&gt;1, Raw_Data!N803/100, Raw_Data!N803)), 0)</f>
        <v>0.3</v>
      </c>
      <c r="F807" s="15">
        <f>IFERROR(VALUE(Raw_Data!O803), Raw_Data!L803*Raw_Data!M803)</f>
        <v>4623.3599999999997</v>
      </c>
    </row>
    <row r="808" spans="2:6" x14ac:dyDescent="0.35">
      <c r="B808" s="13" t="s">
        <v>190</v>
      </c>
      <c r="C808" s="15" t="str">
        <f t="shared" si="12"/>
        <v>Usman Khan</v>
      </c>
      <c r="D808" s="17">
        <v>0</v>
      </c>
      <c r="E808" s="15">
        <f>IFERROR(IF(Raw_Data!N804="", 0, IF(Raw_Data!N804&gt;1, Raw_Data!N804/100, Raw_Data!N804)), 0)</f>
        <v>0</v>
      </c>
      <c r="F808" s="15">
        <f>IFERROR(VALUE(Raw_Data!O804), Raw_Data!L804*Raw_Data!M804)</f>
        <v>5163.84</v>
      </c>
    </row>
    <row r="809" spans="2:6" x14ac:dyDescent="0.35">
      <c r="B809" s="13" t="s">
        <v>533</v>
      </c>
      <c r="C809" s="15" t="str">
        <f t="shared" si="12"/>
        <v>Rabia Farooq</v>
      </c>
      <c r="D809" s="17">
        <v>0.15</v>
      </c>
      <c r="E809" s="15">
        <f>IFERROR(IF(Raw_Data!N805="", 0, IF(Raw_Data!N805&gt;1, Raw_Data!N805/100, Raw_Data!N805)), 0)</f>
        <v>0.15</v>
      </c>
      <c r="F809" s="15">
        <f>IFERROR(VALUE(Raw_Data!O805), Raw_Data!L805*Raw_Data!M805)</f>
        <v>837.15</v>
      </c>
    </row>
    <row r="810" spans="2:6" x14ac:dyDescent="0.35">
      <c r="B810" s="13" t="s">
        <v>781</v>
      </c>
      <c r="C810" s="15" t="str">
        <f t="shared" si="12"/>
        <v>Tariq Sheikh</v>
      </c>
      <c r="D810" s="17">
        <v>0.3</v>
      </c>
      <c r="E810" s="15">
        <f>IFERROR(IF(Raw_Data!N806="", 0, IF(Raw_Data!N806&gt;1, Raw_Data!N806/100, Raw_Data!N806)), 0)</f>
        <v>0.3</v>
      </c>
      <c r="F810" s="15">
        <f>IFERROR(VALUE(Raw_Data!O806), Raw_Data!L806*Raw_Data!M806)</f>
        <v>777.68</v>
      </c>
    </row>
    <row r="811" spans="2:6" x14ac:dyDescent="0.35">
      <c r="B811" s="13" t="s">
        <v>184</v>
      </c>
      <c r="C811" s="15" t="str">
        <f t="shared" si="12"/>
        <v>Imran Ansari</v>
      </c>
      <c r="D811" s="17">
        <v>0.2</v>
      </c>
      <c r="E811" s="15">
        <f>IFERROR(IF(Raw_Data!N807="", 0, IF(Raw_Data!N807&gt;1, Raw_Data!N807/100, Raw_Data!N807)), 0)</f>
        <v>0.2</v>
      </c>
      <c r="F811" s="15">
        <f>IFERROR(VALUE(Raw_Data!O807), Raw_Data!L807*Raw_Data!M807)</f>
        <v>1321.6</v>
      </c>
    </row>
    <row r="812" spans="2:6" x14ac:dyDescent="0.35">
      <c r="B812" s="13" t="s">
        <v>551</v>
      </c>
      <c r="C812" s="15" t="str">
        <f t="shared" si="12"/>
        <v>Kamran Chaudhry</v>
      </c>
      <c r="D812" s="17">
        <v>0</v>
      </c>
      <c r="E812" s="15">
        <f>IFERROR(IF(Raw_Data!N808="", 0, IF(Raw_Data!N808&gt;1, Raw_Data!N808/100, Raw_Data!N808)), 0)</f>
        <v>0</v>
      </c>
      <c r="F812" s="15">
        <f>IFERROR(VALUE(Raw_Data!O808), Raw_Data!L808*Raw_Data!M808)</f>
        <v>1172</v>
      </c>
    </row>
    <row r="813" spans="2:6" x14ac:dyDescent="0.35">
      <c r="B813" s="13" t="s">
        <v>368</v>
      </c>
      <c r="C813" s="15" t="str">
        <f t="shared" si="12"/>
        <v>Hassan Khan</v>
      </c>
      <c r="D813" s="17">
        <v>0</v>
      </c>
      <c r="E813" s="15">
        <f>IFERROR(IF(Raw_Data!N809="", 0, IF(Raw_Data!N809&gt;1, Raw_Data!N809/100, Raw_Data!N809)), 0)</f>
        <v>0</v>
      </c>
      <c r="F813" s="15">
        <f>IFERROR(VALUE(Raw_Data!O809), Raw_Data!L809*Raw_Data!M809)</f>
        <v>3680.64</v>
      </c>
    </row>
    <row r="814" spans="2:6" x14ac:dyDescent="0.35">
      <c r="B814" s="13" t="s">
        <v>143</v>
      </c>
      <c r="C814" s="15" t="str">
        <f t="shared" si="12"/>
        <v>Zara Sheikh</v>
      </c>
      <c r="D814" s="17">
        <v>0.1</v>
      </c>
      <c r="E814" s="15">
        <f>IFERROR(IF(Raw_Data!N810="", 0, IF(Raw_Data!N810&gt;1, Raw_Data!N810/100, Raw_Data!N810)), 0)</f>
        <v>0.1</v>
      </c>
      <c r="F814" s="15">
        <f>IFERROR(VALUE(Raw_Data!O810), Raw_Data!L810*Raw_Data!M810)</f>
        <v>961.83</v>
      </c>
    </row>
    <row r="815" spans="2:6" x14ac:dyDescent="0.35">
      <c r="B815" s="13" t="s">
        <v>389</v>
      </c>
      <c r="C815" s="15" t="str">
        <f t="shared" si="12"/>
        <v>Ahmed Khan</v>
      </c>
      <c r="D815" s="17">
        <v>0.3</v>
      </c>
      <c r="E815" s="15">
        <f>IFERROR(IF(Raw_Data!N811="", 0, IF(Raw_Data!N811&gt;1, Raw_Data!N811/100, Raw_Data!N811)), 0)</f>
        <v>0.3</v>
      </c>
      <c r="F815" s="15">
        <f>IFERROR(VALUE(Raw_Data!O811), Raw_Data!L811*Raw_Data!M811)</f>
        <v>1005.4</v>
      </c>
    </row>
    <row r="816" spans="2:6" x14ac:dyDescent="0.35">
      <c r="B816" s="13" t="s">
        <v>465</v>
      </c>
      <c r="C816" s="15" t="str">
        <f t="shared" si="12"/>
        <v>Ali Ansari</v>
      </c>
      <c r="D816" s="17">
        <v>0.2</v>
      </c>
      <c r="E816" s="15">
        <f>IFERROR(IF(Raw_Data!N812="", 0, IF(Raw_Data!N812&gt;1, Raw_Data!N812/100, Raw_Data!N812)), 0)</f>
        <v>0.2</v>
      </c>
      <c r="F816" s="15">
        <f>IFERROR(VALUE(Raw_Data!O812), Raw_Data!L812*Raw_Data!M812)</f>
        <v>2553.1</v>
      </c>
    </row>
    <row r="817" spans="2:6" x14ac:dyDescent="0.35">
      <c r="B817" s="13" t="s">
        <v>381</v>
      </c>
      <c r="C817" s="15" t="str">
        <f t="shared" si="12"/>
        <v>Usman Malik</v>
      </c>
      <c r="D817" s="17">
        <v>0.1</v>
      </c>
      <c r="E817" s="15">
        <f>IFERROR(IF(Raw_Data!N813="", 0, IF(Raw_Data!N813&gt;1, Raw_Data!N813/100, Raw_Data!N813)), 0)</f>
        <v>0.1</v>
      </c>
      <c r="F817" s="15">
        <f>IFERROR(VALUE(Raw_Data!O813), Raw_Data!L813*Raw_Data!M813)</f>
        <v>1078.08</v>
      </c>
    </row>
    <row r="818" spans="2:6" x14ac:dyDescent="0.35">
      <c r="B818" s="13" t="s">
        <v>173</v>
      </c>
      <c r="C818" s="15" t="str">
        <f t="shared" si="12"/>
        <v>Ayesha Ansari</v>
      </c>
      <c r="D818" s="17">
        <v>0.3</v>
      </c>
      <c r="E818" s="15">
        <f>IFERROR(IF(Raw_Data!N814="", 0, IF(Raw_Data!N814&gt;1, Raw_Data!N814/100, Raw_Data!N814)), 0)</f>
        <v>0.3</v>
      </c>
      <c r="F818" s="15">
        <f>IFERROR(VALUE(Raw_Data!O814), Raw_Data!L814*Raw_Data!M814)</f>
        <v>8848.08</v>
      </c>
    </row>
    <row r="819" spans="2:6" x14ac:dyDescent="0.35">
      <c r="B819" s="13" t="s">
        <v>615</v>
      </c>
      <c r="C819" s="15" t="str">
        <f t="shared" si="12"/>
        <v>Bilal Qureshi</v>
      </c>
      <c r="D819" s="17">
        <v>0.3</v>
      </c>
      <c r="E819" s="15">
        <f>IFERROR(IF(Raw_Data!N815="", 0, IF(Raw_Data!N815&gt;1, Raw_Data!N815/100, Raw_Data!N815)), 0)</f>
        <v>0.3</v>
      </c>
      <c r="F819" s="15">
        <f>IFERROR(VALUE(Raw_Data!O815), Raw_Data!L815*Raw_Data!M815)</f>
        <v>6710.67</v>
      </c>
    </row>
    <row r="820" spans="2:6" x14ac:dyDescent="0.35">
      <c r="B820" s="13" t="s">
        <v>410</v>
      </c>
      <c r="C820" s="15" t="str">
        <f t="shared" si="12"/>
        <v>Hassan Farooq</v>
      </c>
      <c r="D820" s="17">
        <v>0.3</v>
      </c>
      <c r="E820" s="15">
        <f>IFERROR(IF(Raw_Data!N816="", 0, IF(Raw_Data!N816&gt;1, Raw_Data!N816/100, Raw_Data!N816)), 0)</f>
        <v>0.3</v>
      </c>
      <c r="F820" s="15">
        <f>IFERROR(VALUE(Raw_Data!O816), Raw_Data!L816*Raw_Data!M816)</f>
        <v>7608.6</v>
      </c>
    </row>
    <row r="821" spans="2:6" x14ac:dyDescent="0.35">
      <c r="B821" s="13" t="s">
        <v>784</v>
      </c>
      <c r="C821" s="15" t="str">
        <f t="shared" si="12"/>
        <v>Faisal Chaudhry</v>
      </c>
      <c r="D821" s="17">
        <v>0</v>
      </c>
      <c r="E821" s="15">
        <f>IFERROR(IF(Raw_Data!N817="", 0, IF(Raw_Data!N817&gt;1, Raw_Data!N817/100, Raw_Data!N817)), 0)</f>
        <v>0</v>
      </c>
      <c r="F821" s="15">
        <f>IFERROR(VALUE(Raw_Data!O817), Raw_Data!L817*Raw_Data!M817)</f>
        <v>735</v>
      </c>
    </row>
    <row r="822" spans="2:6" x14ac:dyDescent="0.35">
      <c r="B822" s="13" t="s">
        <v>533</v>
      </c>
      <c r="C822" s="15" t="str">
        <f t="shared" si="12"/>
        <v>Rabia Farooq</v>
      </c>
      <c r="D822" s="17">
        <v>0</v>
      </c>
      <c r="E822" s="15">
        <f>IFERROR(IF(Raw_Data!N818="", 0, IF(Raw_Data!N818&gt;1, Raw_Data!N818/100, Raw_Data!N818)), 0)</f>
        <v>0</v>
      </c>
      <c r="F822" s="15">
        <f>IFERROR(VALUE(Raw_Data!O818), Raw_Data!L818*Raw_Data!M818)</f>
        <v>2437.56</v>
      </c>
    </row>
    <row r="823" spans="2:6" x14ac:dyDescent="0.35">
      <c r="B823" s="13" t="s">
        <v>131</v>
      </c>
      <c r="C823" s="15" t="str">
        <f t="shared" si="12"/>
        <v>Ahmed Iqbal</v>
      </c>
      <c r="D823" s="17">
        <v>0.1</v>
      </c>
      <c r="E823" s="15">
        <f>IFERROR(IF(Raw_Data!N819="", 0, IF(Raw_Data!N819&gt;1, Raw_Data!N819/100, Raw_Data!N819)), 0)</f>
        <v>0.1</v>
      </c>
      <c r="F823" s="15">
        <f>IFERROR(VALUE(Raw_Data!O819), Raw_Data!L819*Raw_Data!M819)</f>
        <v>3139.4</v>
      </c>
    </row>
    <row r="824" spans="2:6" x14ac:dyDescent="0.35">
      <c r="B824" s="13" t="s">
        <v>486</v>
      </c>
      <c r="C824" s="15" t="str">
        <f t="shared" si="12"/>
        <v>Faisal Khan</v>
      </c>
      <c r="D824" s="17">
        <v>0</v>
      </c>
      <c r="E824" s="15">
        <f>IFERROR(IF(Raw_Data!N820="", 0, IF(Raw_Data!N820&gt;1, Raw_Data!N820/100, Raw_Data!N820)), 0)</f>
        <v>0</v>
      </c>
      <c r="F824" s="15">
        <f>IFERROR(VALUE(Raw_Data!O820), Raw_Data!L820*Raw_Data!M820)</f>
        <v>4277.1499999999996</v>
      </c>
    </row>
    <row r="825" spans="2:6" x14ac:dyDescent="0.35">
      <c r="B825" s="13" t="s">
        <v>351</v>
      </c>
      <c r="C825" s="15" t="str">
        <f t="shared" si="12"/>
        <v>Ahmed Qureshi</v>
      </c>
      <c r="D825" s="17">
        <v>0.1</v>
      </c>
      <c r="E825" s="15">
        <f>IFERROR(IF(Raw_Data!N821="", 0, IF(Raw_Data!N821&gt;1, Raw_Data!N821/100, Raw_Data!N821)), 0)</f>
        <v>0.1</v>
      </c>
      <c r="F825" s="15">
        <f>IFERROR(VALUE(Raw_Data!O821), Raw_Data!L821*Raw_Data!M821)</f>
        <v>4726.8999999999996</v>
      </c>
    </row>
    <row r="826" spans="2:6" x14ac:dyDescent="0.35">
      <c r="B826" s="13" t="s">
        <v>193</v>
      </c>
      <c r="C826" s="15" t="str">
        <f t="shared" si="12"/>
        <v>Sana Butt</v>
      </c>
      <c r="D826" s="17">
        <v>0.3</v>
      </c>
      <c r="E826" s="15">
        <f>IFERROR(IF(Raw_Data!N822="", 0, IF(Raw_Data!N822&gt;1, Raw_Data!N822/100, Raw_Data!N822)), 0)</f>
        <v>0.3</v>
      </c>
      <c r="F826" s="15">
        <f>IFERROR(VALUE(Raw_Data!O822), Raw_Data!L822*Raw_Data!M822)</f>
        <v>1959.78</v>
      </c>
    </row>
    <row r="827" spans="2:6" x14ac:dyDescent="0.35">
      <c r="B827" s="13" t="s">
        <v>120</v>
      </c>
      <c r="C827" s="15" t="str">
        <f t="shared" si="12"/>
        <v>Adeel Qureshi</v>
      </c>
      <c r="D827" s="17">
        <v>0</v>
      </c>
      <c r="E827" s="15">
        <f>IFERROR(IF(Raw_Data!N823="", 0, IF(Raw_Data!N823&gt;1, Raw_Data!N823/100, Raw_Data!N823)), 0)</f>
        <v>0</v>
      </c>
      <c r="F827" s="15">
        <f>IFERROR(VALUE(Raw_Data!O823), Raw_Data!L823*Raw_Data!M823)</f>
        <v>6382.42</v>
      </c>
    </row>
    <row r="828" spans="2:6" x14ac:dyDescent="0.35">
      <c r="B828" s="13" t="s">
        <v>567</v>
      </c>
      <c r="C828" s="15" t="str">
        <f t="shared" si="12"/>
        <v>Mahnoor Chaudhry</v>
      </c>
      <c r="D828" s="17">
        <v>0.1</v>
      </c>
      <c r="E828" s="15">
        <f>IFERROR(IF(Raw_Data!N824="", 0, IF(Raw_Data!N824&gt;1, Raw_Data!N824/100, Raw_Data!N824)), 0)</f>
        <v>0.1</v>
      </c>
      <c r="F828" s="15">
        <f>IFERROR(VALUE(Raw_Data!O824), Raw_Data!L824*Raw_Data!M824)</f>
        <v>6747.96</v>
      </c>
    </row>
    <row r="829" spans="2:6" x14ac:dyDescent="0.35">
      <c r="B829" s="13" t="s">
        <v>770</v>
      </c>
      <c r="C829" s="15" t="str">
        <f t="shared" si="12"/>
        <v>Mahnoor Farooq</v>
      </c>
      <c r="D829" s="17">
        <v>0.2</v>
      </c>
      <c r="E829" s="15">
        <f>IFERROR(IF(Raw_Data!N825="", 0, IF(Raw_Data!N825&gt;1, Raw_Data!N825/100, Raw_Data!N825)), 0)</f>
        <v>0.2</v>
      </c>
      <c r="F829" s="15">
        <f>IFERROR(VALUE(Raw_Data!O825), Raw_Data!L825*Raw_Data!M825)</f>
        <v>2038.88</v>
      </c>
    </row>
    <row r="830" spans="2:6" x14ac:dyDescent="0.35">
      <c r="B830" s="13" t="s">
        <v>363</v>
      </c>
      <c r="C830" s="15" t="str">
        <f t="shared" si="12"/>
        <v>Bilal Iqbal</v>
      </c>
      <c r="D830" s="17">
        <v>0</v>
      </c>
      <c r="E830" s="15">
        <f>IFERROR(IF(Raw_Data!N826="", 0, IF(Raw_Data!N826&gt;1, Raw_Data!N826/100, Raw_Data!N826)), 0)</f>
        <v>0</v>
      </c>
      <c r="F830" s="15">
        <f>IFERROR(VALUE(Raw_Data!O826), Raw_Data!L826*Raw_Data!M826)</f>
        <v>1966.98</v>
      </c>
    </row>
    <row r="831" spans="2:6" x14ac:dyDescent="0.35">
      <c r="B831" s="13" t="s">
        <v>784</v>
      </c>
      <c r="C831" s="15" t="str">
        <f t="shared" si="12"/>
        <v>Faisal Chaudhry</v>
      </c>
      <c r="D831" s="17">
        <v>0.2</v>
      </c>
      <c r="E831" s="15">
        <f>IFERROR(IF(Raw_Data!N827="", 0, IF(Raw_Data!N827&gt;1, Raw_Data!N827/100, Raw_Data!N827)), 0)</f>
        <v>0.2</v>
      </c>
      <c r="F831" s="15">
        <f>IFERROR(VALUE(Raw_Data!O827), Raw_Data!L827*Raw_Data!M827)</f>
        <v>5248.86</v>
      </c>
    </row>
    <row r="832" spans="2:6" x14ac:dyDescent="0.35">
      <c r="B832" s="13" t="s">
        <v>435</v>
      </c>
      <c r="C832" s="15" t="str">
        <f t="shared" si="12"/>
        <v>Ali Chaudhry</v>
      </c>
      <c r="D832" s="17">
        <v>0</v>
      </c>
      <c r="E832" s="15">
        <f>IFERROR(IF(Raw_Data!N828="", 0, IF(Raw_Data!N828&gt;1, Raw_Data!N828/100, Raw_Data!N828)), 0)</f>
        <v>0</v>
      </c>
      <c r="F832" s="15">
        <f>IFERROR(VALUE(Raw_Data!O828), Raw_Data!L828*Raw_Data!M828)</f>
        <v>821.25</v>
      </c>
    </row>
    <row r="833" spans="2:6" x14ac:dyDescent="0.35">
      <c r="B833" s="13" t="s">
        <v>758</v>
      </c>
      <c r="C833" s="15" t="str">
        <f t="shared" si="12"/>
        <v>Sara Farooq</v>
      </c>
      <c r="D833" s="17">
        <v>0</v>
      </c>
      <c r="E833" s="15">
        <f>IFERROR(IF(Raw_Data!N829="", 0, IF(Raw_Data!N829&gt;1, Raw_Data!N829/100, Raw_Data!N829)), 0)</f>
        <v>0</v>
      </c>
      <c r="F833" s="15">
        <f>IFERROR(VALUE(Raw_Data!O829), Raw_Data!L829*Raw_Data!M829)</f>
        <v>3342.18</v>
      </c>
    </row>
    <row r="834" spans="2:6" x14ac:dyDescent="0.35">
      <c r="B834" s="13" t="s">
        <v>156</v>
      </c>
      <c r="C834" s="15" t="str">
        <f t="shared" si="12"/>
        <v>Adeel Butt</v>
      </c>
      <c r="D834" s="17">
        <v>0</v>
      </c>
      <c r="E834" s="15">
        <f>IFERROR(IF(Raw_Data!N830="", 0, IF(Raw_Data!N830&gt;1, Raw_Data!N830/100, Raw_Data!N830)), 0)</f>
        <v>0</v>
      </c>
      <c r="F834" s="15">
        <f>IFERROR(VALUE(Raw_Data!O830), Raw_Data!L830*Raw_Data!M830)</f>
        <v>4484.4799999999996</v>
      </c>
    </row>
    <row r="835" spans="2:6" x14ac:dyDescent="0.35">
      <c r="B835" s="13" t="s">
        <v>941</v>
      </c>
      <c r="C835" s="15" t="str">
        <f t="shared" si="12"/>
        <v>Ayesha Khan</v>
      </c>
      <c r="D835" s="17">
        <v>0.15</v>
      </c>
      <c r="E835" s="15">
        <f>IFERROR(IF(Raw_Data!N831="", 0, IF(Raw_Data!N831&gt;1, Raw_Data!N831/100, Raw_Data!N831)), 0)</f>
        <v>0.15</v>
      </c>
      <c r="F835" s="15">
        <f>IFERROR(VALUE(Raw_Data!O831), Raw_Data!L831*Raw_Data!M831)</f>
        <v>2058.12</v>
      </c>
    </row>
    <row r="836" spans="2:6" x14ac:dyDescent="0.35">
      <c r="B836" s="13" t="s">
        <v>455</v>
      </c>
      <c r="C836" s="15" t="str">
        <f t="shared" si="12"/>
        <v>Ali Sheikh</v>
      </c>
      <c r="D836" s="17">
        <v>0.1</v>
      </c>
      <c r="E836" s="15">
        <f>IFERROR(IF(Raw_Data!N832="", 0, IF(Raw_Data!N832&gt;1, Raw_Data!N832/100, Raw_Data!N832)), 0)</f>
        <v>0.1</v>
      </c>
      <c r="F836" s="15">
        <f>IFERROR(VALUE(Raw_Data!O832), Raw_Data!L832*Raw_Data!M832)</f>
        <v>3353.28</v>
      </c>
    </row>
    <row r="837" spans="2:6" x14ac:dyDescent="0.35">
      <c r="B837" s="13" t="s">
        <v>403</v>
      </c>
      <c r="C837" s="15" t="str">
        <f t="shared" si="12"/>
        <v>Adeel Ansari</v>
      </c>
      <c r="D837" s="17">
        <v>0</v>
      </c>
      <c r="E837" s="15">
        <f>IFERROR(IF(Raw_Data!N833="", 0, IF(Raw_Data!N833&gt;1, Raw_Data!N833/100, Raw_Data!N833)), 0)</f>
        <v>0</v>
      </c>
      <c r="F837" s="15">
        <f>IFERROR(VALUE(Raw_Data!O833), Raw_Data!L833*Raw_Data!M833)</f>
        <v>8707.32</v>
      </c>
    </row>
    <row r="838" spans="2:6" x14ac:dyDescent="0.35">
      <c r="B838" s="13" t="s">
        <v>139</v>
      </c>
      <c r="C838" s="15" t="str">
        <f t="shared" si="12"/>
        <v>Tariq Malik</v>
      </c>
      <c r="D838" s="17">
        <v>0</v>
      </c>
      <c r="E838" s="15">
        <f>IFERROR(IF(Raw_Data!N834="", 0, IF(Raw_Data!N834&gt;1, Raw_Data!N834/100, Raw_Data!N834)), 0)</f>
        <v>0</v>
      </c>
      <c r="F838" s="15">
        <f>IFERROR(VALUE(Raw_Data!O834), Raw_Data!L834*Raw_Data!M834)</f>
        <v>3826.2</v>
      </c>
    </row>
    <row r="839" spans="2:6" x14ac:dyDescent="0.35">
      <c r="B839" s="13" t="s">
        <v>276</v>
      </c>
      <c r="C839" s="15" t="str">
        <f t="shared" ref="C839:C902" si="13">IF(OR(B839="",B839=0), "Unknown Customer", PROPER(TRIM(B839)))</f>
        <v>Faisal Malik</v>
      </c>
      <c r="D839" s="17">
        <v>0</v>
      </c>
      <c r="E839" s="15">
        <f>IFERROR(IF(Raw_Data!N835="", 0, IF(Raw_Data!N835&gt;1, Raw_Data!N835/100, Raw_Data!N835)), 0)</f>
        <v>0</v>
      </c>
      <c r="F839" s="15">
        <f>IFERROR(VALUE(Raw_Data!O835), Raw_Data!L835*Raw_Data!M835)</f>
        <v>6319.68</v>
      </c>
    </row>
    <row r="840" spans="2:6" x14ac:dyDescent="0.35">
      <c r="B840" s="13" t="s">
        <v>758</v>
      </c>
      <c r="C840" s="15" t="str">
        <f t="shared" si="13"/>
        <v>Sara Farooq</v>
      </c>
      <c r="D840" s="17">
        <v>0.2</v>
      </c>
      <c r="E840" s="15">
        <f>IFERROR(IF(Raw_Data!N836="", 0, IF(Raw_Data!N836&gt;1, Raw_Data!N836/100, Raw_Data!N836)), 0)</f>
        <v>0.2</v>
      </c>
      <c r="F840" s="15">
        <f>IFERROR(VALUE(Raw_Data!O836), Raw_Data!L836*Raw_Data!M836)</f>
        <v>825.5</v>
      </c>
    </row>
    <row r="841" spans="2:6" x14ac:dyDescent="0.35">
      <c r="B841" s="13" t="s">
        <v>410</v>
      </c>
      <c r="C841" s="15" t="str">
        <f t="shared" si="13"/>
        <v>Hassan Farooq</v>
      </c>
      <c r="D841" s="17">
        <v>0</v>
      </c>
      <c r="E841" s="15">
        <f>IFERROR(IF(Raw_Data!N837="", 0, IF(Raw_Data!N837&gt;1, Raw_Data!N837/100, Raw_Data!N837)), 0)</f>
        <v>0</v>
      </c>
      <c r="F841" s="15">
        <f>IFERROR(VALUE(Raw_Data!O837), Raw_Data!L837*Raw_Data!M837)</f>
        <v>448.84</v>
      </c>
    </row>
    <row r="842" spans="2:6" x14ac:dyDescent="0.35">
      <c r="B842" s="13" t="s">
        <v>291</v>
      </c>
      <c r="C842" s="15" t="str">
        <f t="shared" si="13"/>
        <v>Nida Farooq</v>
      </c>
      <c r="D842" s="17">
        <v>0</v>
      </c>
      <c r="E842" s="15">
        <f>IFERROR(IF(Raw_Data!N838="", 0, IF(Raw_Data!N838&gt;1, Raw_Data!N838/100, Raw_Data!N838)), 0)</f>
        <v>0</v>
      </c>
      <c r="F842" s="15">
        <f>IFERROR(VALUE(Raw_Data!O838), Raw_Data!L838*Raw_Data!M838)</f>
        <v>749.35</v>
      </c>
    </row>
    <row r="843" spans="2:6" x14ac:dyDescent="0.35">
      <c r="B843" s="13" t="s">
        <v>941</v>
      </c>
      <c r="C843" s="15" t="str">
        <f t="shared" si="13"/>
        <v>Ayesha Khan</v>
      </c>
      <c r="D843" s="17">
        <v>0</v>
      </c>
      <c r="E843" s="15">
        <f>IFERROR(IF(Raw_Data!N839="", 0, IF(Raw_Data!N839&gt;1, Raw_Data!N839/100, Raw_Data!N839)), 0)</f>
        <v>0</v>
      </c>
      <c r="F843" s="15">
        <f>IFERROR(VALUE(Raw_Data!O839), Raw_Data!L839*Raw_Data!M839)</f>
        <v>4847.88</v>
      </c>
    </row>
    <row r="844" spans="2:6" x14ac:dyDescent="0.35">
      <c r="B844" s="13" t="s">
        <v>213</v>
      </c>
      <c r="C844" s="15" t="str">
        <f t="shared" si="13"/>
        <v>Hina Iqbal</v>
      </c>
      <c r="D844" s="17">
        <v>0</v>
      </c>
      <c r="E844" s="15">
        <f>IFERROR(IF(Raw_Data!N840="", 0, IF(Raw_Data!N840&gt;1, Raw_Data!N840/100, Raw_Data!N840)), 0)</f>
        <v>0</v>
      </c>
      <c r="F844" s="15">
        <f>IFERROR(VALUE(Raw_Data!O840), Raw_Data!L840*Raw_Data!M840)</f>
        <v>508.46</v>
      </c>
    </row>
    <row r="845" spans="2:6" x14ac:dyDescent="0.35">
      <c r="B845" s="13" t="s">
        <v>173</v>
      </c>
      <c r="C845" s="15" t="str">
        <f t="shared" si="13"/>
        <v>Ayesha Ansari</v>
      </c>
      <c r="D845" s="17">
        <v>0</v>
      </c>
      <c r="E845" s="15">
        <f>IFERROR(IF(Raw_Data!N841="", 0, IF(Raw_Data!N841&gt;1, Raw_Data!N841/100, Raw_Data!N841)), 0)</f>
        <v>0</v>
      </c>
      <c r="F845" s="15">
        <f>IFERROR(VALUE(Raw_Data!O841), Raw_Data!L841*Raw_Data!M841)</f>
        <v>2410.2399999999998</v>
      </c>
    </row>
    <row r="846" spans="2:6" x14ac:dyDescent="0.35">
      <c r="B846" s="13" t="s">
        <v>748</v>
      </c>
      <c r="C846" s="15" t="str">
        <f t="shared" si="13"/>
        <v>Kamran Khan</v>
      </c>
      <c r="D846" s="17">
        <v>0</v>
      </c>
      <c r="E846" s="15">
        <f>IFERROR(IF(Raw_Data!N842="", 0, IF(Raw_Data!N842&gt;1, Raw_Data!N842/100, Raw_Data!N842)), 0)</f>
        <v>0</v>
      </c>
      <c r="F846" s="15">
        <f>IFERROR(VALUE(Raw_Data!O842), Raw_Data!L842*Raw_Data!M842)</f>
        <v>3322.77</v>
      </c>
    </row>
    <row r="847" spans="2:6" x14ac:dyDescent="0.35">
      <c r="B847" s="13" t="s">
        <v>685</v>
      </c>
      <c r="C847" s="15" t="str">
        <f t="shared" si="13"/>
        <v>Hina Raza</v>
      </c>
      <c r="D847" s="17">
        <v>0.2</v>
      </c>
      <c r="E847" s="15">
        <f>IFERROR(IF(Raw_Data!N843="", 0, IF(Raw_Data!N843&gt;1, Raw_Data!N843/100, Raw_Data!N843)), 0)</f>
        <v>0.2</v>
      </c>
      <c r="F847" s="15">
        <f>IFERROR(VALUE(Raw_Data!O843), Raw_Data!L843*Raw_Data!M843)</f>
        <v>8759.76</v>
      </c>
    </row>
    <row r="848" spans="2:6" x14ac:dyDescent="0.35">
      <c r="B848" s="13" t="s">
        <v>521</v>
      </c>
      <c r="C848" s="15" t="str">
        <f t="shared" si="13"/>
        <v>Sara Ansari</v>
      </c>
      <c r="D848" s="17">
        <v>0.1</v>
      </c>
      <c r="E848" s="15">
        <f>IFERROR(IF(Raw_Data!N844="", 0, IF(Raw_Data!N844&gt;1, Raw_Data!N844/100, Raw_Data!N844)), 0)</f>
        <v>0.1</v>
      </c>
      <c r="F848" s="15">
        <f>IFERROR(VALUE(Raw_Data!O844), Raw_Data!L844*Raw_Data!M844)</f>
        <v>5830.24</v>
      </c>
    </row>
    <row r="849" spans="2:6" x14ac:dyDescent="0.35">
      <c r="B849" s="13">
        <v>0</v>
      </c>
      <c r="C849" s="15" t="str">
        <f t="shared" si="13"/>
        <v>Unknown Customer</v>
      </c>
      <c r="D849" s="17">
        <v>0.3</v>
      </c>
      <c r="E849" s="15">
        <f>IFERROR(IF(Raw_Data!N845="", 0, IF(Raw_Data!N845&gt;1, Raw_Data!N845/100, Raw_Data!N845)), 0)</f>
        <v>0.3</v>
      </c>
      <c r="F849" s="15">
        <f>IFERROR(VALUE(Raw_Data!O845), Raw_Data!L845*Raw_Data!M845)</f>
        <v>3634.8</v>
      </c>
    </row>
    <row r="850" spans="2:6" x14ac:dyDescent="0.35">
      <c r="B850" s="13" t="s">
        <v>218</v>
      </c>
      <c r="C850" s="15" t="str">
        <f t="shared" si="13"/>
        <v>Usman Iqbal</v>
      </c>
      <c r="D850" s="17">
        <v>0.15</v>
      </c>
      <c r="E850" s="15">
        <f>IFERROR(IF(Raw_Data!N846="", 0, IF(Raw_Data!N846&gt;1, Raw_Data!N846/100, Raw_Data!N846)), 0)</f>
        <v>0.15</v>
      </c>
      <c r="F850" s="15">
        <f>IFERROR(VALUE(Raw_Data!O846), Raw_Data!L846*Raw_Data!M846)</f>
        <v>5174</v>
      </c>
    </row>
    <row r="851" spans="2:6" x14ac:dyDescent="0.35">
      <c r="B851" s="13" t="s">
        <v>400</v>
      </c>
      <c r="C851" s="15" t="str">
        <f t="shared" si="13"/>
        <v>Sana Chaudhry</v>
      </c>
      <c r="D851" s="17">
        <v>0</v>
      </c>
      <c r="E851" s="15">
        <f>IFERROR(IF(Raw_Data!N847="", 0, IF(Raw_Data!N847&gt;1, Raw_Data!N847/100, Raw_Data!N847)), 0)</f>
        <v>0</v>
      </c>
      <c r="F851" s="15">
        <f>IFERROR(VALUE(Raw_Data!O847), Raw_Data!L847*Raw_Data!M847)</f>
        <v>2390.96</v>
      </c>
    </row>
    <row r="852" spans="2:6" x14ac:dyDescent="0.35">
      <c r="B852" s="13" t="s">
        <v>267</v>
      </c>
      <c r="C852" s="15" t="str">
        <f t="shared" si="13"/>
        <v>Nida Chaudhry</v>
      </c>
      <c r="D852" s="17">
        <v>0.2</v>
      </c>
      <c r="E852" s="15">
        <f>IFERROR(IF(Raw_Data!N848="", 0, IF(Raw_Data!N848&gt;1, Raw_Data!N848/100, Raw_Data!N848)), 0)</f>
        <v>0.2</v>
      </c>
      <c r="F852" s="15">
        <f>IFERROR(VALUE(Raw_Data!O848), Raw_Data!L848*Raw_Data!M848)</f>
        <v>8443.7099999999991</v>
      </c>
    </row>
    <row r="853" spans="2:6" x14ac:dyDescent="0.35">
      <c r="B853" s="13" t="s">
        <v>941</v>
      </c>
      <c r="C853" s="15" t="str">
        <f t="shared" si="13"/>
        <v>Ayesha Khan</v>
      </c>
      <c r="D853" s="17">
        <v>0.1</v>
      </c>
      <c r="E853" s="15">
        <f>IFERROR(IF(Raw_Data!N849="", 0, IF(Raw_Data!N849&gt;1, Raw_Data!N849/100, Raw_Data!N849)), 0)</f>
        <v>0.1</v>
      </c>
      <c r="F853" s="15">
        <f>IFERROR(VALUE(Raw_Data!O849), Raw_Data!L849*Raw_Data!M849)</f>
        <v>9322.5</v>
      </c>
    </row>
    <row r="854" spans="2:6" x14ac:dyDescent="0.35">
      <c r="B854" s="13" t="s">
        <v>1173</v>
      </c>
      <c r="C854" s="15" t="str">
        <f t="shared" si="13"/>
        <v>Hina Farooq</v>
      </c>
      <c r="D854" s="17">
        <v>0.1</v>
      </c>
      <c r="E854" s="15">
        <f>IFERROR(IF(Raw_Data!N850="", 0, IF(Raw_Data!N850&gt;1, Raw_Data!N850/100, Raw_Data!N850)), 0)</f>
        <v>0.1</v>
      </c>
      <c r="F854" s="15">
        <f>IFERROR(VALUE(Raw_Data!O850), Raw_Data!L850*Raw_Data!M850)</f>
        <v>698.76</v>
      </c>
    </row>
    <row r="855" spans="2:6" x14ac:dyDescent="0.35">
      <c r="B855" s="13" t="s">
        <v>693</v>
      </c>
      <c r="C855" s="15" t="str">
        <f t="shared" si="13"/>
        <v>Adeel Raza</v>
      </c>
      <c r="D855" s="17">
        <v>0.15</v>
      </c>
      <c r="E855" s="15">
        <f>IFERROR(IF(Raw_Data!N851="", 0, IF(Raw_Data!N851&gt;1, Raw_Data!N851/100, Raw_Data!N851)), 0)</f>
        <v>0.15</v>
      </c>
      <c r="F855" s="15">
        <f>IFERROR(VALUE(Raw_Data!O851), Raw_Data!L851*Raw_Data!M851)</f>
        <v>2456.85</v>
      </c>
    </row>
    <row r="856" spans="2:6" x14ac:dyDescent="0.35">
      <c r="B856" s="13" t="s">
        <v>579</v>
      </c>
      <c r="C856" s="15" t="str">
        <f t="shared" si="13"/>
        <v>Kamran Farooq</v>
      </c>
      <c r="D856" s="17">
        <v>0</v>
      </c>
      <c r="E856" s="15">
        <f>IFERROR(IF(Raw_Data!N852="", 0, IF(Raw_Data!N852&gt;1, Raw_Data!N852/100, Raw_Data!N852)), 0)</f>
        <v>0</v>
      </c>
      <c r="F856" s="15">
        <f>IFERROR(VALUE(Raw_Data!O852), Raw_Data!L852*Raw_Data!M852)</f>
        <v>1684.65</v>
      </c>
    </row>
    <row r="857" spans="2:6" x14ac:dyDescent="0.35">
      <c r="B857" s="13" t="s">
        <v>1177</v>
      </c>
      <c r="C857" s="15" t="str">
        <f t="shared" si="13"/>
        <v>Adeel Ansari</v>
      </c>
      <c r="D857" s="17">
        <v>0.1</v>
      </c>
      <c r="E857" s="15">
        <f>IFERROR(IF(Raw_Data!N853="", 0, IF(Raw_Data!N853&gt;1, Raw_Data!N853/100, Raw_Data!N853)), 0)</f>
        <v>0.1</v>
      </c>
      <c r="F857" s="15">
        <f>IFERROR(VALUE(Raw_Data!O853), Raw_Data!L853*Raw_Data!M853)</f>
        <v>4196.25</v>
      </c>
    </row>
    <row r="858" spans="2:6" x14ac:dyDescent="0.35">
      <c r="B858" s="13" t="s">
        <v>261</v>
      </c>
      <c r="C858" s="15" t="str">
        <f t="shared" si="13"/>
        <v>Mahnoor Malik</v>
      </c>
      <c r="D858" s="17">
        <v>0.3</v>
      </c>
      <c r="E858" s="15">
        <f>IFERROR(IF(Raw_Data!N854="", 0, IF(Raw_Data!N854&gt;1, Raw_Data!N854/100, Raw_Data!N854)), 0)</f>
        <v>0.3</v>
      </c>
      <c r="F858" s="15">
        <f>IFERROR(VALUE(Raw_Data!O854), Raw_Data!L854*Raw_Data!M854)</f>
        <v>6036.08</v>
      </c>
    </row>
    <row r="859" spans="2:6" x14ac:dyDescent="0.35">
      <c r="B859" s="13" t="s">
        <v>89</v>
      </c>
      <c r="C859" s="15" t="str">
        <f t="shared" si="13"/>
        <v>Hina Khan</v>
      </c>
      <c r="D859" s="17">
        <v>0.3</v>
      </c>
      <c r="E859" s="15">
        <f>IFERROR(IF(Raw_Data!N855="", 0, IF(Raw_Data!N855&gt;1, Raw_Data!N855/100, Raw_Data!N855)), 0)</f>
        <v>0.3</v>
      </c>
      <c r="F859" s="15">
        <f>IFERROR(VALUE(Raw_Data!O855), Raw_Data!L855*Raw_Data!M855)</f>
        <v>1355.37</v>
      </c>
    </row>
    <row r="860" spans="2:6" x14ac:dyDescent="0.35">
      <c r="B860" s="13" t="s">
        <v>204</v>
      </c>
      <c r="C860" s="15" t="str">
        <f t="shared" si="13"/>
        <v>Faisal Farooq</v>
      </c>
      <c r="D860" s="17">
        <v>0</v>
      </c>
      <c r="E860" s="15">
        <f>IFERROR(IF(Raw_Data!N856="", 0, IF(Raw_Data!N856&gt;1, Raw_Data!N856/100, Raw_Data!N856)), 0)</f>
        <v>0</v>
      </c>
      <c r="F860" s="15">
        <f>IFERROR(VALUE(Raw_Data!O856), Raw_Data!L856*Raw_Data!M856)</f>
        <v>5168.5</v>
      </c>
    </row>
    <row r="861" spans="2:6" x14ac:dyDescent="0.35">
      <c r="B861" s="13" t="s">
        <v>422</v>
      </c>
      <c r="C861" s="15" t="str">
        <f t="shared" si="13"/>
        <v>Fatima Butt</v>
      </c>
      <c r="D861" s="17">
        <v>0</v>
      </c>
      <c r="E861" s="15">
        <f>IFERROR(IF(Raw_Data!N857="", 0, IF(Raw_Data!N857&gt;1, Raw_Data!N857/100, Raw_Data!N857)), 0)</f>
        <v>0</v>
      </c>
      <c r="F861" s="15">
        <f>IFERROR(VALUE(Raw_Data!O857), Raw_Data!L857*Raw_Data!M857)</f>
        <v>7104.87</v>
      </c>
    </row>
    <row r="862" spans="2:6" x14ac:dyDescent="0.35">
      <c r="B862" s="13" t="s">
        <v>386</v>
      </c>
      <c r="C862" s="15" t="str">
        <f t="shared" si="13"/>
        <v>Tariq Farooq</v>
      </c>
      <c r="D862" s="17">
        <v>0.2</v>
      </c>
      <c r="E862" s="15">
        <f>IFERROR(IF(Raw_Data!N858="", 0, IF(Raw_Data!N858&gt;1, Raw_Data!N858/100, Raw_Data!N858)), 0)</f>
        <v>0.2</v>
      </c>
      <c r="F862" s="15">
        <f>IFERROR(VALUE(Raw_Data!O858), Raw_Data!L858*Raw_Data!M858)</f>
        <v>10620.72</v>
      </c>
    </row>
    <row r="863" spans="2:6" x14ac:dyDescent="0.35">
      <c r="B863" s="13" t="s">
        <v>474</v>
      </c>
      <c r="C863" s="15" t="str">
        <f t="shared" si="13"/>
        <v>Ayesha Chaudhry</v>
      </c>
      <c r="D863" s="17">
        <v>0</v>
      </c>
      <c r="E863" s="15">
        <f>IFERROR(IF(Raw_Data!N859="", 0, IF(Raw_Data!N859&gt;1, Raw_Data!N859/100, Raw_Data!N859)), 0)</f>
        <v>0</v>
      </c>
      <c r="F863" s="15">
        <f>IFERROR(VALUE(Raw_Data!O859), Raw_Data!L859*Raw_Data!M859)</f>
        <v>2202.6999999999998</v>
      </c>
    </row>
    <row r="864" spans="2:6" x14ac:dyDescent="0.35">
      <c r="B864" s="13" t="s">
        <v>406</v>
      </c>
      <c r="C864" s="15" t="str">
        <f t="shared" si="13"/>
        <v>Ali Khan</v>
      </c>
      <c r="D864" s="17">
        <v>0.3</v>
      </c>
      <c r="E864" s="15">
        <f>IFERROR(IF(Raw_Data!N860="", 0, IF(Raw_Data!N860&gt;1, Raw_Data!N860/100, Raw_Data!N860)), 0)</f>
        <v>0.3</v>
      </c>
      <c r="F864" s="15">
        <f>IFERROR(VALUE(Raw_Data!O860), Raw_Data!L860*Raw_Data!M860)</f>
        <v>1998.48</v>
      </c>
    </row>
    <row r="865" spans="2:6" x14ac:dyDescent="0.35">
      <c r="B865" s="13" t="s">
        <v>1185</v>
      </c>
      <c r="C865" s="15" t="str">
        <f t="shared" si="13"/>
        <v>Mahnoor Sheikh</v>
      </c>
      <c r="D865" s="17">
        <v>0.3</v>
      </c>
      <c r="E865" s="15">
        <f>IFERROR(IF(Raw_Data!N861="", 0, IF(Raw_Data!N861&gt;1, Raw_Data!N861/100, Raw_Data!N861)), 0)</f>
        <v>0.3</v>
      </c>
      <c r="F865" s="15">
        <f>IFERROR(VALUE(Raw_Data!O861), Raw_Data!L861*Raw_Data!M861)</f>
        <v>3514</v>
      </c>
    </row>
    <row r="866" spans="2:6" x14ac:dyDescent="0.35">
      <c r="B866" s="13" t="s">
        <v>381</v>
      </c>
      <c r="C866" s="15" t="str">
        <f t="shared" si="13"/>
        <v>Usman Malik</v>
      </c>
      <c r="D866" s="17">
        <v>0.3</v>
      </c>
      <c r="E866" s="15">
        <f>IFERROR(IF(Raw_Data!N862="", 0, IF(Raw_Data!N862&gt;1, Raw_Data!N862/100, Raw_Data!N862)), 0)</f>
        <v>0.3</v>
      </c>
      <c r="F866" s="15">
        <f>IFERROR(VALUE(Raw_Data!O862), Raw_Data!L862*Raw_Data!M862)</f>
        <v>1097.58</v>
      </c>
    </row>
    <row r="867" spans="2:6" x14ac:dyDescent="0.35">
      <c r="B867" s="13">
        <v>0</v>
      </c>
      <c r="C867" s="15" t="str">
        <f t="shared" si="13"/>
        <v>Unknown Customer</v>
      </c>
      <c r="D867" s="17">
        <v>0.2</v>
      </c>
      <c r="E867" s="15">
        <f>IFERROR(IF(Raw_Data!N863="", 0, IF(Raw_Data!N863&gt;1, Raw_Data!N863/100, Raw_Data!N863)), 0)</f>
        <v>0.2</v>
      </c>
      <c r="F867" s="15">
        <f>IFERROR(VALUE(Raw_Data!O863), Raw_Data!L863*Raw_Data!M863)</f>
        <v>5876.2</v>
      </c>
    </row>
    <row r="868" spans="2:6" x14ac:dyDescent="0.35">
      <c r="B868" s="13" t="s">
        <v>567</v>
      </c>
      <c r="C868" s="15" t="str">
        <f t="shared" si="13"/>
        <v>Mahnoor Chaudhry</v>
      </c>
      <c r="D868" s="17">
        <v>0.2</v>
      </c>
      <c r="E868" s="15">
        <f>IFERROR(IF(Raw_Data!N864="", 0, IF(Raw_Data!N864&gt;1, Raw_Data!N864/100, Raw_Data!N864)), 0)</f>
        <v>0.2</v>
      </c>
      <c r="F868" s="15">
        <f>IFERROR(VALUE(Raw_Data!O864), Raw_Data!L864*Raw_Data!M864)</f>
        <v>9426.36</v>
      </c>
    </row>
    <row r="869" spans="2:6" x14ac:dyDescent="0.35">
      <c r="B869" s="13" t="s">
        <v>574</v>
      </c>
      <c r="C869" s="15" t="str">
        <f t="shared" si="13"/>
        <v>Bilal Sheikh</v>
      </c>
      <c r="D869" s="17">
        <v>0.15</v>
      </c>
      <c r="E869" s="15">
        <f>IFERROR(IF(Raw_Data!N865="", 0, IF(Raw_Data!N865&gt;1, Raw_Data!N865/100, Raw_Data!N865)), 0)</f>
        <v>0.15</v>
      </c>
      <c r="F869" s="15">
        <f>IFERROR(VALUE(Raw_Data!O865), Raw_Data!L865*Raw_Data!M865)</f>
        <v>16.489999999999998</v>
      </c>
    </row>
    <row r="870" spans="2:6" x14ac:dyDescent="0.35">
      <c r="B870" s="13" t="s">
        <v>114</v>
      </c>
      <c r="C870" s="15" t="str">
        <f t="shared" si="13"/>
        <v>Imran Malik</v>
      </c>
      <c r="D870" s="17">
        <v>0.2</v>
      </c>
      <c r="E870" s="15">
        <f>IFERROR(IF(Raw_Data!N866="", 0, IF(Raw_Data!N866&gt;1, Raw_Data!N866/100, Raw_Data!N866)), 0)</f>
        <v>0.2</v>
      </c>
      <c r="F870" s="15">
        <f>IFERROR(VALUE(Raw_Data!O866), Raw_Data!L866*Raw_Data!M866)</f>
        <v>169.44</v>
      </c>
    </row>
    <row r="871" spans="2:6" x14ac:dyDescent="0.35">
      <c r="B871" s="13" t="s">
        <v>200</v>
      </c>
      <c r="C871" s="15" t="str">
        <f t="shared" si="13"/>
        <v>Nida Malik</v>
      </c>
      <c r="D871" s="17">
        <v>0</v>
      </c>
      <c r="E871" s="15">
        <f>IFERROR(IF(Raw_Data!N867="", 0, IF(Raw_Data!N867&gt;1, Raw_Data!N867/100, Raw_Data!N867)), 0)</f>
        <v>0</v>
      </c>
      <c r="F871" s="15">
        <f>IFERROR(VALUE(Raw_Data!O867), Raw_Data!L867*Raw_Data!M867)</f>
        <v>10081.32</v>
      </c>
    </row>
    <row r="872" spans="2:6" x14ac:dyDescent="0.35">
      <c r="B872" s="13" t="s">
        <v>272</v>
      </c>
      <c r="C872" s="15" t="str">
        <f t="shared" si="13"/>
        <v>Imran Raza</v>
      </c>
      <c r="D872" s="17">
        <v>0</v>
      </c>
      <c r="E872" s="15">
        <f>IFERROR(IF(Raw_Data!N868="", 0, IF(Raw_Data!N868&gt;1, Raw_Data!N868/100, Raw_Data!N868)), 0)</f>
        <v>0</v>
      </c>
      <c r="F872" s="15">
        <f>IFERROR(VALUE(Raw_Data!O868), Raw_Data!L868*Raw_Data!M868)</f>
        <v>2264.1999999999998</v>
      </c>
    </row>
    <row r="873" spans="2:6" x14ac:dyDescent="0.35">
      <c r="B873" s="13">
        <v>0</v>
      </c>
      <c r="C873" s="15" t="str">
        <f t="shared" si="13"/>
        <v>Unknown Customer</v>
      </c>
      <c r="D873" s="17">
        <v>0</v>
      </c>
      <c r="E873" s="15">
        <f>IFERROR(IF(Raw_Data!N869="", 0, IF(Raw_Data!N869&gt;1, Raw_Data!N869/100, Raw_Data!N869)), 0)</f>
        <v>0</v>
      </c>
      <c r="F873" s="15">
        <f>IFERROR(VALUE(Raw_Data!O869), Raw_Data!L869*Raw_Data!M869)</f>
        <v>1545.62</v>
      </c>
    </row>
    <row r="874" spans="2:6" x14ac:dyDescent="0.35">
      <c r="B874" s="13" t="s">
        <v>355</v>
      </c>
      <c r="C874" s="15" t="str">
        <f t="shared" si="13"/>
        <v>Ayesha Butt</v>
      </c>
      <c r="D874" s="17">
        <v>0</v>
      </c>
      <c r="E874" s="15">
        <f>IFERROR(IF(Raw_Data!N870="", 0, IF(Raw_Data!N870&gt;1, Raw_Data!N870/100, Raw_Data!N870)), 0)</f>
        <v>0</v>
      </c>
      <c r="F874" s="15">
        <f>IFERROR(VALUE(Raw_Data!O870), Raw_Data!L870*Raw_Data!M870)</f>
        <v>751.3</v>
      </c>
    </row>
    <row r="875" spans="2:6" x14ac:dyDescent="0.35">
      <c r="B875" s="13" t="s">
        <v>122</v>
      </c>
      <c r="C875" s="15" t="str">
        <f t="shared" si="13"/>
        <v>Hina Malik</v>
      </c>
      <c r="D875" s="17">
        <v>0</v>
      </c>
      <c r="E875" s="15">
        <f>IFERROR(IF(Raw_Data!N871="", 0, IF(Raw_Data!N871&gt;1, Raw_Data!N871/100, Raw_Data!N871)), 0)</f>
        <v>0</v>
      </c>
      <c r="F875" s="15">
        <f>IFERROR(VALUE(Raw_Data!O871), Raw_Data!L871*Raw_Data!M871)</f>
        <v>2466.81</v>
      </c>
    </row>
    <row r="876" spans="2:6" x14ac:dyDescent="0.35">
      <c r="B876" s="13" t="s">
        <v>227</v>
      </c>
      <c r="C876" s="15" t="str">
        <f t="shared" si="13"/>
        <v>Omar Qureshi</v>
      </c>
      <c r="D876" s="17">
        <v>0.15</v>
      </c>
      <c r="E876" s="15">
        <f>IFERROR(IF(Raw_Data!N872="", 0, IF(Raw_Data!N872&gt;1, Raw_Data!N872/100, Raw_Data!N872)), 0)</f>
        <v>0.15</v>
      </c>
      <c r="F876" s="15">
        <f>IFERROR(VALUE(Raw_Data!O872), Raw_Data!L872*Raw_Data!M872)</f>
        <v>4621.54</v>
      </c>
    </row>
    <row r="877" spans="2:6" x14ac:dyDescent="0.35">
      <c r="B877" s="13" t="s">
        <v>463</v>
      </c>
      <c r="C877" s="15" t="str">
        <f t="shared" si="13"/>
        <v>Tariq Iqbal</v>
      </c>
      <c r="D877" s="17">
        <v>0</v>
      </c>
      <c r="E877" s="15">
        <f>IFERROR(IF(Raw_Data!N873="", 0, IF(Raw_Data!N873&gt;1, Raw_Data!N873/100, Raw_Data!N873)), 0)</f>
        <v>0</v>
      </c>
      <c r="F877" s="15">
        <f>IFERROR(VALUE(Raw_Data!O873), Raw_Data!L873*Raw_Data!M873)</f>
        <v>1719.72</v>
      </c>
    </row>
    <row r="878" spans="2:6" x14ac:dyDescent="0.35">
      <c r="B878" s="13" t="s">
        <v>141</v>
      </c>
      <c r="C878" s="15" t="str">
        <f t="shared" si="13"/>
        <v>Fatima Ansari</v>
      </c>
      <c r="D878" s="17">
        <v>0</v>
      </c>
      <c r="E878" s="15">
        <f>IFERROR(IF(Raw_Data!N874="", 0, IF(Raw_Data!N874&gt;1, Raw_Data!N874/100, Raw_Data!N874)), 0)</f>
        <v>0</v>
      </c>
      <c r="F878" s="15">
        <f>IFERROR(VALUE(Raw_Data!O874), Raw_Data!L874*Raw_Data!M874)</f>
        <v>2731.08</v>
      </c>
    </row>
    <row r="879" spans="2:6" x14ac:dyDescent="0.35">
      <c r="B879" s="13" t="s">
        <v>310</v>
      </c>
      <c r="C879" s="15" t="str">
        <f t="shared" si="13"/>
        <v>Omar Malik</v>
      </c>
      <c r="D879" s="17">
        <v>0.3</v>
      </c>
      <c r="E879" s="15">
        <f>IFERROR(IF(Raw_Data!N875="", 0, IF(Raw_Data!N875&gt;1, Raw_Data!N875/100, Raw_Data!N875)), 0)</f>
        <v>0.3</v>
      </c>
      <c r="F879" s="15">
        <f>IFERROR(VALUE(Raw_Data!O875), Raw_Data!L875*Raw_Data!M875)</f>
        <v>1084.76</v>
      </c>
    </row>
    <row r="880" spans="2:6" x14ac:dyDescent="0.35">
      <c r="B880" s="13" t="s">
        <v>363</v>
      </c>
      <c r="C880" s="15" t="str">
        <f t="shared" si="13"/>
        <v>Bilal Iqbal</v>
      </c>
      <c r="D880" s="17">
        <v>0.1</v>
      </c>
      <c r="E880" s="15">
        <f>IFERROR(IF(Raw_Data!N876="", 0, IF(Raw_Data!N876&gt;1, Raw_Data!N876/100, Raw_Data!N876)), 0)</f>
        <v>0.1</v>
      </c>
      <c r="F880" s="15">
        <f>IFERROR(VALUE(Raw_Data!O876), Raw_Data!L876*Raw_Data!M876)</f>
        <v>5786.41</v>
      </c>
    </row>
    <row r="881" spans="2:6" x14ac:dyDescent="0.35">
      <c r="B881" s="13">
        <v>0</v>
      </c>
      <c r="C881" s="15" t="str">
        <f t="shared" si="13"/>
        <v>Unknown Customer</v>
      </c>
      <c r="D881" s="17">
        <v>0.3</v>
      </c>
      <c r="E881" s="15">
        <f>IFERROR(IF(Raw_Data!N877="", 0, IF(Raw_Data!N877&gt;1, Raw_Data!N877/100, Raw_Data!N877)), 0)</f>
        <v>0.3</v>
      </c>
      <c r="F881" s="15">
        <f>IFERROR(VALUE(Raw_Data!O877), Raw_Data!L877*Raw_Data!M877)</f>
        <v>1940.64</v>
      </c>
    </row>
    <row r="882" spans="2:6" x14ac:dyDescent="0.35">
      <c r="B882" s="13" t="s">
        <v>34</v>
      </c>
      <c r="C882" s="15" t="str">
        <f t="shared" si="13"/>
        <v>Zara Iqbal</v>
      </c>
      <c r="D882" s="17">
        <v>0.3</v>
      </c>
      <c r="E882" s="15">
        <f>IFERROR(IF(Raw_Data!N878="", 0, IF(Raw_Data!N878&gt;1, Raw_Data!N878/100, Raw_Data!N878)), 0)</f>
        <v>0.3</v>
      </c>
      <c r="F882" s="15">
        <f>IFERROR(VALUE(Raw_Data!O878), Raw_Data!L878*Raw_Data!M878)</f>
        <v>1054.74</v>
      </c>
    </row>
    <row r="883" spans="2:6" x14ac:dyDescent="0.35">
      <c r="B883" s="13" t="s">
        <v>727</v>
      </c>
      <c r="C883" s="15" t="str">
        <f t="shared" si="13"/>
        <v>Fatima Sheikh</v>
      </c>
      <c r="D883" s="17">
        <v>0</v>
      </c>
      <c r="E883" s="15">
        <f>IFERROR(IF(Raw_Data!N879="", 0, IF(Raw_Data!N879&gt;1, Raw_Data!N879/100, Raw_Data!N879)), 0)</f>
        <v>0</v>
      </c>
      <c r="F883" s="15">
        <f>IFERROR(VALUE(Raw_Data!O879), Raw_Data!L879*Raw_Data!M879)</f>
        <v>3091.32</v>
      </c>
    </row>
    <row r="884" spans="2:6" x14ac:dyDescent="0.35">
      <c r="B884" s="13" t="s">
        <v>218</v>
      </c>
      <c r="C884" s="15" t="str">
        <f t="shared" si="13"/>
        <v>Usman Iqbal</v>
      </c>
      <c r="D884" s="17">
        <v>0</v>
      </c>
      <c r="E884" s="15">
        <f>IFERROR(IF(Raw_Data!N880="", 0, IF(Raw_Data!N880&gt;1, Raw_Data!N880/100, Raw_Data!N880)), 0)</f>
        <v>0</v>
      </c>
      <c r="F884" s="15">
        <f>IFERROR(VALUE(Raw_Data!O880), Raw_Data!L880*Raw_Data!M880)</f>
        <v>1809.68</v>
      </c>
    </row>
    <row r="885" spans="2:6" x14ac:dyDescent="0.35">
      <c r="B885" s="13" t="s">
        <v>237</v>
      </c>
      <c r="C885" s="15" t="str">
        <f t="shared" si="13"/>
        <v>Hina Farooq</v>
      </c>
      <c r="D885" s="17">
        <v>0</v>
      </c>
      <c r="E885" s="15">
        <f>IFERROR(IF(Raw_Data!N881="", 0, IF(Raw_Data!N881&gt;1, Raw_Data!N881/100, Raw_Data!N881)), 0)</f>
        <v>0</v>
      </c>
      <c r="F885" s="15">
        <f>IFERROR(VALUE(Raw_Data!O881), Raw_Data!L881*Raw_Data!M881)</f>
        <v>2706.12</v>
      </c>
    </row>
    <row r="886" spans="2:6" x14ac:dyDescent="0.35">
      <c r="B886" s="13" t="s">
        <v>239</v>
      </c>
      <c r="C886" s="15" t="str">
        <f t="shared" si="13"/>
        <v>Sana Farooq</v>
      </c>
      <c r="D886" s="17">
        <v>0</v>
      </c>
      <c r="E886" s="15">
        <f>IFERROR(IF(Raw_Data!N882="", 0, IF(Raw_Data!N882&gt;1, Raw_Data!N882/100, Raw_Data!N882)), 0)</f>
        <v>0</v>
      </c>
      <c r="F886" s="15">
        <f>IFERROR(VALUE(Raw_Data!O882), Raw_Data!L882*Raw_Data!M882)</f>
        <v>3808.32</v>
      </c>
    </row>
    <row r="887" spans="2:6" x14ac:dyDescent="0.35">
      <c r="B887" s="13" t="s">
        <v>535</v>
      </c>
      <c r="C887" s="15" t="str">
        <f t="shared" si="13"/>
        <v>Nida Ansari</v>
      </c>
      <c r="D887" s="17">
        <v>0</v>
      </c>
      <c r="E887" s="15">
        <f>IFERROR(IF(Raw_Data!N883="", 0, IF(Raw_Data!N883&gt;1, Raw_Data!N883/100, Raw_Data!N883)), 0)</f>
        <v>0</v>
      </c>
      <c r="F887" s="15">
        <f>IFERROR(VALUE(Raw_Data!O883), Raw_Data!L883*Raw_Data!M883)</f>
        <v>4321.6000000000004</v>
      </c>
    </row>
    <row r="888" spans="2:6" x14ac:dyDescent="0.35">
      <c r="B888" s="13" t="s">
        <v>1208</v>
      </c>
      <c r="C888" s="15" t="str">
        <f t="shared" si="13"/>
        <v>Kamran Raza</v>
      </c>
      <c r="D888" s="17">
        <v>0.15</v>
      </c>
      <c r="E888" s="15">
        <f>IFERROR(IF(Raw_Data!N884="", 0, IF(Raw_Data!N884&gt;1, Raw_Data!N884/100, Raw_Data!N884)), 0)</f>
        <v>0.15</v>
      </c>
      <c r="F888" s="15">
        <f>IFERROR(VALUE(Raw_Data!O884), Raw_Data!L884*Raw_Data!M884)</f>
        <v>1168.24</v>
      </c>
    </row>
    <row r="889" spans="2:6" x14ac:dyDescent="0.35">
      <c r="B889" s="13" t="s">
        <v>551</v>
      </c>
      <c r="C889" s="15" t="str">
        <f t="shared" si="13"/>
        <v>Kamran Chaudhry</v>
      </c>
      <c r="D889" s="17">
        <v>0</v>
      </c>
      <c r="E889" s="15">
        <f>IFERROR(IF(Raw_Data!N885="", 0, IF(Raw_Data!N885&gt;1, Raw_Data!N885/100, Raw_Data!N885)), 0)</f>
        <v>0</v>
      </c>
      <c r="F889" s="15">
        <f>IFERROR(VALUE(Raw_Data!O885), Raw_Data!L885*Raw_Data!M885)</f>
        <v>3162.96</v>
      </c>
    </row>
    <row r="890" spans="2:6" x14ac:dyDescent="0.35">
      <c r="B890" s="13" t="s">
        <v>383</v>
      </c>
      <c r="C890" s="15" t="str">
        <f t="shared" si="13"/>
        <v>Omar Ansari</v>
      </c>
      <c r="D890" s="17">
        <v>0.15</v>
      </c>
      <c r="E890" s="15">
        <f>IFERROR(IF(Raw_Data!N886="", 0, IF(Raw_Data!N886&gt;1, Raw_Data!N886/100, Raw_Data!N886)), 0)</f>
        <v>0.15</v>
      </c>
      <c r="F890" s="15">
        <f>IFERROR(VALUE(Raw_Data!O886), Raw_Data!L886*Raw_Data!M886)</f>
        <v>842.2</v>
      </c>
    </row>
    <row r="891" spans="2:6" x14ac:dyDescent="0.35">
      <c r="B891" s="13">
        <v>0</v>
      </c>
      <c r="C891" s="15" t="str">
        <f t="shared" si="13"/>
        <v>Unknown Customer</v>
      </c>
      <c r="D891" s="17">
        <v>0</v>
      </c>
      <c r="E891" s="15">
        <f>IFERROR(IF(Raw_Data!N887="", 0, IF(Raw_Data!N887&gt;1, Raw_Data!N887/100, Raw_Data!N887)), 0)</f>
        <v>0</v>
      </c>
      <c r="F891" s="15">
        <f>IFERROR(VALUE(Raw_Data!O887), Raw_Data!L887*Raw_Data!M887)</f>
        <v>1939.92</v>
      </c>
    </row>
    <row r="892" spans="2:6" x14ac:dyDescent="0.35">
      <c r="B892" s="13" t="s">
        <v>180</v>
      </c>
      <c r="C892" s="15" t="str">
        <f t="shared" si="13"/>
        <v>Faisal Butt</v>
      </c>
      <c r="D892" s="17">
        <v>0.15</v>
      </c>
      <c r="E892" s="15">
        <f>IFERROR(IF(Raw_Data!N888="", 0, IF(Raw_Data!N888&gt;1, Raw_Data!N888/100, Raw_Data!N888)), 0)</f>
        <v>0.15</v>
      </c>
      <c r="F892" s="15">
        <f>IFERROR(VALUE(Raw_Data!O888), Raw_Data!L888*Raw_Data!M888)</f>
        <v>6820.11</v>
      </c>
    </row>
    <row r="893" spans="2:6" x14ac:dyDescent="0.35">
      <c r="B893" s="13" t="s">
        <v>263</v>
      </c>
      <c r="C893" s="15" t="str">
        <f t="shared" si="13"/>
        <v>Ayesha Qureshi</v>
      </c>
      <c r="D893" s="17">
        <v>0.2</v>
      </c>
      <c r="E893" s="15">
        <f>IFERROR(IF(Raw_Data!N889="", 0, IF(Raw_Data!N889&gt;1, Raw_Data!N889/100, Raw_Data!N889)), 0)</f>
        <v>0.2</v>
      </c>
      <c r="F893" s="15">
        <f>IFERROR(VALUE(Raw_Data!O889), Raw_Data!L889*Raw_Data!M889)</f>
        <v>1758.6</v>
      </c>
    </row>
    <row r="894" spans="2:6" x14ac:dyDescent="0.35">
      <c r="B894" s="13" t="s">
        <v>419</v>
      </c>
      <c r="C894" s="15" t="str">
        <f t="shared" si="13"/>
        <v>Nida Butt</v>
      </c>
      <c r="D894" s="17">
        <v>0</v>
      </c>
      <c r="E894" s="15">
        <f>IFERROR(IF(Raw_Data!N890="", 0, IF(Raw_Data!N890&gt;1, Raw_Data!N890/100, Raw_Data!N890)), 0)</f>
        <v>0</v>
      </c>
      <c r="F894" s="15">
        <f>IFERROR(VALUE(Raw_Data!O890), Raw_Data!L890*Raw_Data!M890)</f>
        <v>315.37</v>
      </c>
    </row>
    <row r="895" spans="2:6" x14ac:dyDescent="0.35">
      <c r="B895" s="13" t="s">
        <v>381</v>
      </c>
      <c r="C895" s="15" t="str">
        <f t="shared" si="13"/>
        <v>Usman Malik</v>
      </c>
      <c r="D895" s="17">
        <v>0</v>
      </c>
      <c r="E895" s="15">
        <f>IFERROR(IF(Raw_Data!N891="", 0, IF(Raw_Data!N891&gt;1, Raw_Data!N891/100, Raw_Data!N891)), 0)</f>
        <v>0</v>
      </c>
      <c r="F895" s="15">
        <f>IFERROR(VALUE(Raw_Data!O891), Raw_Data!L891*Raw_Data!M891)</f>
        <v>1682.04</v>
      </c>
    </row>
    <row r="896" spans="2:6" x14ac:dyDescent="0.35">
      <c r="B896" s="13" t="s">
        <v>180</v>
      </c>
      <c r="C896" s="15" t="str">
        <f t="shared" si="13"/>
        <v>Faisal Butt</v>
      </c>
      <c r="D896" s="17">
        <v>0.3</v>
      </c>
      <c r="E896" s="15">
        <f>IFERROR(IF(Raw_Data!N892="", 0, IF(Raw_Data!N892&gt;1, Raw_Data!N892/100, Raw_Data!N892)), 0)</f>
        <v>0.3</v>
      </c>
      <c r="F896" s="15">
        <f>IFERROR(VALUE(Raw_Data!O892), Raw_Data!L892*Raw_Data!M892)</f>
        <v>3280.6</v>
      </c>
    </row>
    <row r="897" spans="2:6" x14ac:dyDescent="0.35">
      <c r="B897" s="13" t="s">
        <v>163</v>
      </c>
      <c r="C897" s="15" t="str">
        <f t="shared" si="13"/>
        <v>Bilal Butt</v>
      </c>
      <c r="D897" s="17">
        <v>0</v>
      </c>
      <c r="E897" s="15">
        <f>IFERROR(IF(Raw_Data!N893="", 0, IF(Raw_Data!N893&gt;1, Raw_Data!N893/100, Raw_Data!N893)), 0)</f>
        <v>0</v>
      </c>
      <c r="F897" s="15">
        <f>IFERROR(VALUE(Raw_Data!O893), Raw_Data!L893*Raw_Data!M893)</f>
        <v>6799.23</v>
      </c>
    </row>
    <row r="898" spans="2:6" x14ac:dyDescent="0.35">
      <c r="B898" s="13" t="s">
        <v>239</v>
      </c>
      <c r="C898" s="15" t="str">
        <f t="shared" si="13"/>
        <v>Sana Farooq</v>
      </c>
      <c r="D898" s="17">
        <v>0.2</v>
      </c>
      <c r="E898" s="15">
        <f>IFERROR(IF(Raw_Data!N894="", 0, IF(Raw_Data!N894&gt;1, Raw_Data!N894/100, Raw_Data!N894)), 0)</f>
        <v>0.2</v>
      </c>
      <c r="F898" s="15">
        <f>IFERROR(VALUE(Raw_Data!O894), Raw_Data!L894*Raw_Data!M894)</f>
        <v>61.68</v>
      </c>
    </row>
    <row r="899" spans="2:6" x14ac:dyDescent="0.35">
      <c r="B899" s="13" t="s">
        <v>784</v>
      </c>
      <c r="C899" s="15" t="str">
        <f t="shared" si="13"/>
        <v>Faisal Chaudhry</v>
      </c>
      <c r="D899" s="17">
        <v>0</v>
      </c>
      <c r="E899" s="15">
        <f>IFERROR(IF(Raw_Data!N895="", 0, IF(Raw_Data!N895&gt;1, Raw_Data!N895/100, Raw_Data!N895)), 0)</f>
        <v>0</v>
      </c>
      <c r="F899" s="15">
        <f>IFERROR(VALUE(Raw_Data!O895), Raw_Data!L895*Raw_Data!M895)</f>
        <v>2869.7</v>
      </c>
    </row>
    <row r="900" spans="2:6" x14ac:dyDescent="0.35">
      <c r="B900" s="13" t="s">
        <v>562</v>
      </c>
      <c r="C900" s="15" t="str">
        <f t="shared" si="13"/>
        <v>Faisal Iqbal</v>
      </c>
      <c r="D900" s="17">
        <v>0.1</v>
      </c>
      <c r="E900" s="15">
        <f>IFERROR(IF(Raw_Data!N896="", 0, IF(Raw_Data!N896&gt;1, Raw_Data!N896/100, Raw_Data!N896)), 0)</f>
        <v>0.1</v>
      </c>
      <c r="F900" s="15">
        <f>IFERROR(VALUE(Raw_Data!O896), Raw_Data!L896*Raw_Data!M896)</f>
        <v>2397.29</v>
      </c>
    </row>
    <row r="901" spans="2:6" x14ac:dyDescent="0.35">
      <c r="B901" s="13" t="s">
        <v>455</v>
      </c>
      <c r="C901" s="15" t="str">
        <f t="shared" si="13"/>
        <v>Ali Sheikh</v>
      </c>
      <c r="D901" s="17">
        <v>0</v>
      </c>
      <c r="E901" s="15">
        <f>IFERROR(IF(Raw_Data!N897="", 0, IF(Raw_Data!N897&gt;1, Raw_Data!N897/100, Raw_Data!N897)), 0)</f>
        <v>0</v>
      </c>
      <c r="F901" s="15">
        <f>IFERROR(VALUE(Raw_Data!O897), Raw_Data!L897*Raw_Data!M897)</f>
        <v>1933.84</v>
      </c>
    </row>
    <row r="902" spans="2:6" x14ac:dyDescent="0.35">
      <c r="B902" s="13" t="s">
        <v>255</v>
      </c>
      <c r="C902" s="15" t="str">
        <f t="shared" si="13"/>
        <v>Tariq Ansari</v>
      </c>
      <c r="D902" s="17">
        <v>0.3</v>
      </c>
      <c r="E902" s="15">
        <f>IFERROR(IF(Raw_Data!N898="", 0, IF(Raw_Data!N898&gt;1, Raw_Data!N898/100, Raw_Data!N898)), 0)</f>
        <v>0.3</v>
      </c>
      <c r="F902" s="15">
        <f>IFERROR(VALUE(Raw_Data!O898), Raw_Data!L898*Raw_Data!M898)</f>
        <v>4709.3900000000003</v>
      </c>
    </row>
    <row r="903" spans="2:6" x14ac:dyDescent="0.35">
      <c r="B903" s="13" t="s">
        <v>229</v>
      </c>
      <c r="C903" s="15" t="str">
        <f t="shared" ref="C903:C966" si="14">IF(OR(B903="",B903=0), "Unknown Customer", PROPER(TRIM(B903)))</f>
        <v>Ahmed Ansari</v>
      </c>
      <c r="D903" s="17">
        <v>0.3</v>
      </c>
      <c r="E903" s="15">
        <f>IFERROR(IF(Raw_Data!N899="", 0, IF(Raw_Data!N899&gt;1, Raw_Data!N899/100, Raw_Data!N899)), 0)</f>
        <v>0.3</v>
      </c>
      <c r="F903" s="15">
        <f>IFERROR(VALUE(Raw_Data!O899), Raw_Data!L899*Raw_Data!M899)</f>
        <v>413.36</v>
      </c>
    </row>
    <row r="904" spans="2:6" x14ac:dyDescent="0.35">
      <c r="B904" s="13" t="s">
        <v>400</v>
      </c>
      <c r="C904" s="15" t="str">
        <f t="shared" si="14"/>
        <v>Sana Chaudhry</v>
      </c>
      <c r="D904" s="17">
        <v>0.2</v>
      </c>
      <c r="E904" s="15">
        <f>IFERROR(IF(Raw_Data!N900="", 0, IF(Raw_Data!N900&gt;1, Raw_Data!N900/100, Raw_Data!N900)), 0)</f>
        <v>0.2</v>
      </c>
      <c r="F904" s="15">
        <f>IFERROR(VALUE(Raw_Data!O900), Raw_Data!L900*Raw_Data!M900)</f>
        <v>4371.78</v>
      </c>
    </row>
    <row r="905" spans="2:6" x14ac:dyDescent="0.35">
      <c r="B905" s="13" t="s">
        <v>375</v>
      </c>
      <c r="C905" s="15" t="str">
        <f t="shared" si="14"/>
        <v>Sara Raza</v>
      </c>
      <c r="D905" s="17">
        <v>0.3</v>
      </c>
      <c r="E905" s="15">
        <f>IFERROR(IF(Raw_Data!N901="", 0, IF(Raw_Data!N901&gt;1, Raw_Data!N901/100, Raw_Data!N901)), 0)</f>
        <v>0.3</v>
      </c>
      <c r="F905" s="15">
        <f>IFERROR(VALUE(Raw_Data!O901), Raw_Data!L901*Raw_Data!M901)</f>
        <v>899.91</v>
      </c>
    </row>
    <row r="906" spans="2:6" x14ac:dyDescent="0.35">
      <c r="B906" s="13" t="s">
        <v>158</v>
      </c>
      <c r="C906" s="15" t="str">
        <f t="shared" si="14"/>
        <v>Mahnoor Khan</v>
      </c>
      <c r="D906" s="17">
        <v>0.1</v>
      </c>
      <c r="E906" s="15">
        <f>IFERROR(IF(Raw_Data!N902="", 0, IF(Raw_Data!N902&gt;1, Raw_Data!N902/100, Raw_Data!N902)), 0)</f>
        <v>0.1</v>
      </c>
      <c r="F906" s="15">
        <f>IFERROR(VALUE(Raw_Data!O902), Raw_Data!L902*Raw_Data!M902)</f>
        <v>2601.6999999999998</v>
      </c>
    </row>
    <row r="907" spans="2:6" x14ac:dyDescent="0.35">
      <c r="B907" s="13" t="s">
        <v>207</v>
      </c>
      <c r="C907" s="15" t="str">
        <f t="shared" si="14"/>
        <v>Kamran Butt</v>
      </c>
      <c r="D907" s="17">
        <v>0.15</v>
      </c>
      <c r="E907" s="15">
        <f>IFERROR(IF(Raw_Data!N903="", 0, IF(Raw_Data!N903&gt;1, Raw_Data!N903/100, Raw_Data!N903)), 0)</f>
        <v>0.15</v>
      </c>
      <c r="F907" s="15">
        <f>IFERROR(VALUE(Raw_Data!O903), Raw_Data!L903*Raw_Data!M903)</f>
        <v>726.48</v>
      </c>
    </row>
    <row r="908" spans="2:6" x14ac:dyDescent="0.35">
      <c r="B908" s="13" t="s">
        <v>110</v>
      </c>
      <c r="C908" s="15" t="str">
        <f t="shared" si="14"/>
        <v>Omar Chaudhry</v>
      </c>
      <c r="D908" s="17">
        <v>0</v>
      </c>
      <c r="E908" s="15">
        <f>IFERROR(IF(Raw_Data!N904="", 0, IF(Raw_Data!N904&gt;1, Raw_Data!N904/100, Raw_Data!N904)), 0)</f>
        <v>0</v>
      </c>
      <c r="F908" s="15">
        <f>IFERROR(VALUE(Raw_Data!O904), Raw_Data!L904*Raw_Data!M904)</f>
        <v>6960.24</v>
      </c>
    </row>
    <row r="909" spans="2:6" x14ac:dyDescent="0.35">
      <c r="B909" s="13" t="s">
        <v>476</v>
      </c>
      <c r="C909" s="15" t="str">
        <f t="shared" si="14"/>
        <v>Nida Iqbal</v>
      </c>
      <c r="D909" s="17">
        <v>0.1</v>
      </c>
      <c r="E909" s="15">
        <f>IFERROR(IF(Raw_Data!N905="", 0, IF(Raw_Data!N905&gt;1, Raw_Data!N905/100, Raw_Data!N905)), 0)</f>
        <v>0.1</v>
      </c>
      <c r="F909" s="15">
        <f>IFERROR(VALUE(Raw_Data!O905), Raw_Data!L905*Raw_Data!M905)</f>
        <v>1278.8699999999999</v>
      </c>
    </row>
    <row r="910" spans="2:6" x14ac:dyDescent="0.35">
      <c r="B910" s="13" t="s">
        <v>233</v>
      </c>
      <c r="C910" s="15" t="str">
        <f t="shared" si="14"/>
        <v>Omar Sheikh</v>
      </c>
      <c r="D910" s="17">
        <v>0.1</v>
      </c>
      <c r="E910" s="15">
        <f>IFERROR(IF(Raw_Data!N906="", 0, IF(Raw_Data!N906&gt;1, Raw_Data!N906/100, Raw_Data!N906)), 0)</f>
        <v>0.1</v>
      </c>
      <c r="F910" s="15">
        <f>IFERROR(VALUE(Raw_Data!O906), Raw_Data!L906*Raw_Data!M906)</f>
        <v>1503.78</v>
      </c>
    </row>
    <row r="911" spans="2:6" x14ac:dyDescent="0.35">
      <c r="B911" s="13" t="s">
        <v>727</v>
      </c>
      <c r="C911" s="15" t="str">
        <f t="shared" si="14"/>
        <v>Fatima Sheikh</v>
      </c>
      <c r="D911" s="17">
        <v>0.3</v>
      </c>
      <c r="E911" s="15">
        <f>IFERROR(IF(Raw_Data!N907="", 0, IF(Raw_Data!N907&gt;1, Raw_Data!N907/100, Raw_Data!N907)), 0)</f>
        <v>0.3</v>
      </c>
      <c r="F911" s="15">
        <f>IFERROR(VALUE(Raw_Data!O907), Raw_Data!L907*Raw_Data!M907)</f>
        <v>4188.3599999999997</v>
      </c>
    </row>
    <row r="912" spans="2:6" x14ac:dyDescent="0.35">
      <c r="B912" s="13" t="s">
        <v>410</v>
      </c>
      <c r="C912" s="15" t="str">
        <f t="shared" si="14"/>
        <v>Hassan Farooq</v>
      </c>
      <c r="D912" s="17">
        <v>0.15</v>
      </c>
      <c r="E912" s="15">
        <f>IFERROR(IF(Raw_Data!N908="", 0, IF(Raw_Data!N908&gt;1, Raw_Data!N908/100, Raw_Data!N908)), 0)</f>
        <v>0.15</v>
      </c>
      <c r="F912" s="15">
        <f>IFERROR(VALUE(Raw_Data!O908), Raw_Data!L908*Raw_Data!M908)</f>
        <v>1564.8</v>
      </c>
    </row>
    <row r="913" spans="2:6" x14ac:dyDescent="0.35">
      <c r="B913" s="13" t="s">
        <v>251</v>
      </c>
      <c r="C913" s="15" t="str">
        <f t="shared" si="14"/>
        <v>Hina Qureshi</v>
      </c>
      <c r="D913" s="17">
        <v>0</v>
      </c>
      <c r="E913" s="15">
        <f>IFERROR(IF(Raw_Data!N909="", 0, IF(Raw_Data!N909&gt;1, Raw_Data!N909/100, Raw_Data!N909)), 0)</f>
        <v>0</v>
      </c>
      <c r="F913" s="15">
        <f>IFERROR(VALUE(Raw_Data!O909), Raw_Data!L909*Raw_Data!M909)</f>
        <v>3592.38</v>
      </c>
    </row>
    <row r="914" spans="2:6" x14ac:dyDescent="0.35">
      <c r="B914" s="13" t="s">
        <v>476</v>
      </c>
      <c r="C914" s="15" t="str">
        <f t="shared" si="14"/>
        <v>Nida Iqbal</v>
      </c>
      <c r="D914" s="17">
        <v>0</v>
      </c>
      <c r="E914" s="15">
        <f>IFERROR(IF(Raw_Data!N910="", 0, IF(Raw_Data!N910&gt;1, Raw_Data!N910/100, Raw_Data!N910)), 0)</f>
        <v>0</v>
      </c>
      <c r="F914" s="15">
        <f>IFERROR(VALUE(Raw_Data!O910), Raw_Data!L910*Raw_Data!M910)</f>
        <v>1457.44</v>
      </c>
    </row>
    <row r="915" spans="2:6" x14ac:dyDescent="0.35">
      <c r="B915" s="13" t="s">
        <v>114</v>
      </c>
      <c r="C915" s="15" t="str">
        <f t="shared" si="14"/>
        <v>Imran Malik</v>
      </c>
      <c r="D915" s="17">
        <v>0</v>
      </c>
      <c r="E915" s="15">
        <f>IFERROR(IF(Raw_Data!N911="", 0, IF(Raw_Data!N911&gt;1, Raw_Data!N911/100, Raw_Data!N911)), 0)</f>
        <v>0</v>
      </c>
      <c r="F915" s="15">
        <f>IFERROR(VALUE(Raw_Data!O911), Raw_Data!L911*Raw_Data!M911)</f>
        <v>637.04</v>
      </c>
    </row>
    <row r="916" spans="2:6" x14ac:dyDescent="0.35">
      <c r="B916" s="13" t="s">
        <v>149</v>
      </c>
      <c r="C916" s="15" t="str">
        <f t="shared" si="14"/>
        <v>Usman Butt</v>
      </c>
      <c r="D916" s="17">
        <v>0</v>
      </c>
      <c r="E916" s="15">
        <f>IFERROR(IF(Raw_Data!N912="", 0, IF(Raw_Data!N912&gt;1, Raw_Data!N912/100, Raw_Data!N912)), 0)</f>
        <v>0</v>
      </c>
      <c r="F916" s="15">
        <f>IFERROR(VALUE(Raw_Data!O912), Raw_Data!L912*Raw_Data!M912)</f>
        <v>2876</v>
      </c>
    </row>
    <row r="917" spans="2:6" x14ac:dyDescent="0.35">
      <c r="B917" s="13" t="s">
        <v>492</v>
      </c>
      <c r="C917" s="15" t="str">
        <f t="shared" si="14"/>
        <v>Sara Sheikh</v>
      </c>
      <c r="D917" s="17">
        <v>0.1</v>
      </c>
      <c r="E917" s="15">
        <f>IFERROR(IF(Raw_Data!N913="", 0, IF(Raw_Data!N913&gt;1, Raw_Data!N913/100, Raw_Data!N913)), 0)</f>
        <v>0.1</v>
      </c>
      <c r="F917" s="15">
        <f>IFERROR(VALUE(Raw_Data!O913), Raw_Data!L913*Raw_Data!M913)</f>
        <v>3889.97</v>
      </c>
    </row>
    <row r="918" spans="2:6" x14ac:dyDescent="0.35">
      <c r="B918" s="13" t="s">
        <v>312</v>
      </c>
      <c r="C918" s="15" t="str">
        <f t="shared" si="14"/>
        <v>Usman Chaudhry</v>
      </c>
      <c r="D918" s="17">
        <v>0.2</v>
      </c>
      <c r="E918" s="15">
        <f>IFERROR(IF(Raw_Data!N914="", 0, IF(Raw_Data!N914&gt;1, Raw_Data!N914/100, Raw_Data!N914)), 0)</f>
        <v>0.2</v>
      </c>
      <c r="F918" s="15">
        <f>IFERROR(VALUE(Raw_Data!O914), Raw_Data!L914*Raw_Data!M914)</f>
        <v>2022</v>
      </c>
    </row>
    <row r="919" spans="2:6" x14ac:dyDescent="0.35">
      <c r="B919" s="13" t="s">
        <v>1185</v>
      </c>
      <c r="C919" s="15" t="str">
        <f t="shared" si="14"/>
        <v>Mahnoor Sheikh</v>
      </c>
      <c r="D919" s="17">
        <v>0</v>
      </c>
      <c r="E919" s="15">
        <f>IFERROR(IF(Raw_Data!N915="", 0, IF(Raw_Data!N915&gt;1, Raw_Data!N915/100, Raw_Data!N915)), 0)</f>
        <v>0</v>
      </c>
      <c r="F919" s="15">
        <f>IFERROR(VALUE(Raw_Data!O915), Raw_Data!L915*Raw_Data!M915)</f>
        <v>3931.56</v>
      </c>
    </row>
    <row r="920" spans="2:6" x14ac:dyDescent="0.35">
      <c r="B920" s="13" t="s">
        <v>60</v>
      </c>
      <c r="C920" s="15" t="str">
        <f t="shared" si="14"/>
        <v>Imran Sheikh</v>
      </c>
      <c r="D920" s="17">
        <v>0</v>
      </c>
      <c r="E920" s="15">
        <f>IFERROR(IF(Raw_Data!N916="", 0, IF(Raw_Data!N916&gt;1, Raw_Data!N916/100, Raw_Data!N916)), 0)</f>
        <v>0</v>
      </c>
      <c r="F920" s="15">
        <f>IFERROR(VALUE(Raw_Data!O916), Raw_Data!L916*Raw_Data!M916)</f>
        <v>1658.1</v>
      </c>
    </row>
    <row r="921" spans="2:6" x14ac:dyDescent="0.35">
      <c r="B921" s="13" t="s">
        <v>803</v>
      </c>
      <c r="C921" s="15" t="str">
        <f t="shared" si="14"/>
        <v>Omar Farooq</v>
      </c>
      <c r="D921" s="17">
        <v>0.3</v>
      </c>
      <c r="E921" s="15">
        <f>IFERROR(IF(Raw_Data!N917="", 0, IF(Raw_Data!N917&gt;1, Raw_Data!N917/100, Raw_Data!N917)), 0)</f>
        <v>0.3</v>
      </c>
      <c r="F921" s="15">
        <f>IFERROR(VALUE(Raw_Data!O917), Raw_Data!L917*Raw_Data!M917)</f>
        <v>4364</v>
      </c>
    </row>
    <row r="922" spans="2:6" x14ac:dyDescent="0.35">
      <c r="B922" s="13" t="s">
        <v>239</v>
      </c>
      <c r="C922" s="15" t="str">
        <f t="shared" si="14"/>
        <v>Sana Farooq</v>
      </c>
      <c r="D922" s="17">
        <v>0</v>
      </c>
      <c r="E922" s="15">
        <f>IFERROR(IF(Raw_Data!N918="", 0, IF(Raw_Data!N918&gt;1, Raw_Data!N918/100, Raw_Data!N918)), 0)</f>
        <v>0</v>
      </c>
      <c r="F922" s="15">
        <f>IFERROR(VALUE(Raw_Data!O918), Raw_Data!L918*Raw_Data!M918)</f>
        <v>3931.44</v>
      </c>
    </row>
    <row r="923" spans="2:6" x14ac:dyDescent="0.35">
      <c r="B923" s="13" t="s">
        <v>750</v>
      </c>
      <c r="C923" s="15" t="str">
        <f t="shared" si="14"/>
        <v>Faisal Qureshi</v>
      </c>
      <c r="D923" s="17">
        <v>0.15</v>
      </c>
      <c r="E923" s="15">
        <f>IFERROR(IF(Raw_Data!N919="", 0, IF(Raw_Data!N919&gt;1, Raw_Data!N919/100, Raw_Data!N919)), 0)</f>
        <v>0.15</v>
      </c>
      <c r="F923" s="15">
        <f>IFERROR(VALUE(Raw_Data!O919), Raw_Data!L919*Raw_Data!M919)</f>
        <v>1194.3499999999999</v>
      </c>
    </row>
    <row r="924" spans="2:6" x14ac:dyDescent="0.35">
      <c r="B924" s="13" t="s">
        <v>257</v>
      </c>
      <c r="C924" s="15" t="str">
        <f t="shared" si="14"/>
        <v>Ayesha Raza</v>
      </c>
      <c r="D924" s="17">
        <v>0</v>
      </c>
      <c r="E924" s="15">
        <f>IFERROR(IF(Raw_Data!N920="", 0, IF(Raw_Data!N920&gt;1, Raw_Data!N920/100, Raw_Data!N920)), 0)</f>
        <v>0</v>
      </c>
      <c r="F924" s="15">
        <f>IFERROR(VALUE(Raw_Data!O920), Raw_Data!L920*Raw_Data!M920)</f>
        <v>1992.97</v>
      </c>
    </row>
    <row r="925" spans="2:6" x14ac:dyDescent="0.35">
      <c r="B925" s="13" t="s">
        <v>299</v>
      </c>
      <c r="C925" s="15" t="str">
        <f t="shared" si="14"/>
        <v>Adeel Farooq</v>
      </c>
      <c r="D925" s="17">
        <v>0.3</v>
      </c>
      <c r="E925" s="15">
        <f>IFERROR(IF(Raw_Data!N921="", 0, IF(Raw_Data!N921&gt;1, Raw_Data!N921/100, Raw_Data!N921)), 0)</f>
        <v>0.3</v>
      </c>
      <c r="F925" s="15">
        <f>IFERROR(VALUE(Raw_Data!O921), Raw_Data!L921*Raw_Data!M921)</f>
        <v>667.86</v>
      </c>
    </row>
    <row r="926" spans="2:6" x14ac:dyDescent="0.35">
      <c r="B926" s="13" t="s">
        <v>227</v>
      </c>
      <c r="C926" s="15" t="str">
        <f t="shared" si="14"/>
        <v>Omar Qureshi</v>
      </c>
      <c r="D926" s="17">
        <v>0.3</v>
      </c>
      <c r="E926" s="15">
        <f>IFERROR(IF(Raw_Data!N922="", 0, IF(Raw_Data!N922&gt;1, Raw_Data!N922/100, Raw_Data!N922)), 0)</f>
        <v>0.3</v>
      </c>
      <c r="F926" s="15">
        <f>IFERROR(VALUE(Raw_Data!O922), Raw_Data!L922*Raw_Data!M922)</f>
        <v>4984.6400000000003</v>
      </c>
    </row>
    <row r="927" spans="2:6" x14ac:dyDescent="0.35">
      <c r="B927" s="13" t="s">
        <v>340</v>
      </c>
      <c r="C927" s="15" t="str">
        <f t="shared" si="14"/>
        <v>Rabia Qureshi</v>
      </c>
      <c r="D927" s="17">
        <v>0.2</v>
      </c>
      <c r="E927" s="15">
        <f>IFERROR(IF(Raw_Data!N923="", 0, IF(Raw_Data!N923&gt;1, Raw_Data!N923/100, Raw_Data!N923)), 0)</f>
        <v>0.2</v>
      </c>
      <c r="F927" s="15">
        <f>IFERROR(VALUE(Raw_Data!O923), Raw_Data!L923*Raw_Data!M923)</f>
        <v>960.82</v>
      </c>
    </row>
    <row r="928" spans="2:6" x14ac:dyDescent="0.35">
      <c r="B928" s="13">
        <v>0</v>
      </c>
      <c r="C928" s="15" t="str">
        <f t="shared" si="14"/>
        <v>Unknown Customer</v>
      </c>
      <c r="D928" s="17">
        <v>0</v>
      </c>
      <c r="E928" s="15">
        <f>IFERROR(IF(Raw_Data!N924="", 0, IF(Raw_Data!N924&gt;1, Raw_Data!N924/100, Raw_Data!N924)), 0)</f>
        <v>0</v>
      </c>
      <c r="F928" s="15">
        <f>IFERROR(VALUE(Raw_Data!O924), Raw_Data!L924*Raw_Data!M924)</f>
        <v>3369.25</v>
      </c>
    </row>
    <row r="929" spans="2:6" x14ac:dyDescent="0.35">
      <c r="B929" s="13" t="s">
        <v>589</v>
      </c>
      <c r="C929" s="15" t="str">
        <f t="shared" si="14"/>
        <v>Mahnoor Raza</v>
      </c>
      <c r="D929" s="17">
        <v>0.15</v>
      </c>
      <c r="E929" s="15">
        <f>IFERROR(IF(Raw_Data!N925="", 0, IF(Raw_Data!N925&gt;1, Raw_Data!N925/100, Raw_Data!N925)), 0)</f>
        <v>0.15</v>
      </c>
      <c r="F929" s="15">
        <f>IFERROR(VALUE(Raw_Data!O925), Raw_Data!L925*Raw_Data!M925)</f>
        <v>2309.13</v>
      </c>
    </row>
    <row r="930" spans="2:6" x14ac:dyDescent="0.35">
      <c r="B930" s="13" t="s">
        <v>312</v>
      </c>
      <c r="C930" s="15" t="str">
        <f t="shared" si="14"/>
        <v>Usman Chaudhry</v>
      </c>
      <c r="D930" s="17">
        <v>0</v>
      </c>
      <c r="E930" s="15">
        <f>IFERROR(IF(Raw_Data!N926="", 0, IF(Raw_Data!N926&gt;1, Raw_Data!N926/100, Raw_Data!N926)), 0)</f>
        <v>0</v>
      </c>
      <c r="F930" s="15">
        <f>IFERROR(VALUE(Raw_Data!O926), Raw_Data!L926*Raw_Data!M926)</f>
        <v>4068.36</v>
      </c>
    </row>
    <row r="931" spans="2:6" x14ac:dyDescent="0.35">
      <c r="B931" s="13">
        <v>0</v>
      </c>
      <c r="C931" s="15" t="str">
        <f t="shared" si="14"/>
        <v>Unknown Customer</v>
      </c>
      <c r="D931" s="17">
        <v>0</v>
      </c>
      <c r="E931" s="15">
        <f>IFERROR(IF(Raw_Data!N927="", 0, IF(Raw_Data!N927&gt;1, Raw_Data!N927/100, Raw_Data!N927)), 0)</f>
        <v>0</v>
      </c>
      <c r="F931" s="15">
        <f>IFERROR(VALUE(Raw_Data!O927), Raw_Data!L927*Raw_Data!M927)</f>
        <v>2604.87</v>
      </c>
    </row>
    <row r="932" spans="2:6" x14ac:dyDescent="0.35">
      <c r="B932" s="13" t="s">
        <v>693</v>
      </c>
      <c r="C932" s="15" t="str">
        <f t="shared" si="14"/>
        <v>Adeel Raza</v>
      </c>
      <c r="D932" s="17">
        <v>0</v>
      </c>
      <c r="E932" s="15">
        <f>IFERROR(IF(Raw_Data!N928="", 0, IF(Raw_Data!N928&gt;1, Raw_Data!N928/100, Raw_Data!N928)), 0)</f>
        <v>0</v>
      </c>
      <c r="F932" s="15">
        <f>IFERROR(VALUE(Raw_Data!O928), Raw_Data!L928*Raw_Data!M928)</f>
        <v>87.96</v>
      </c>
    </row>
    <row r="933" spans="2:6" x14ac:dyDescent="0.35">
      <c r="B933" s="13" t="s">
        <v>351</v>
      </c>
      <c r="C933" s="15" t="str">
        <f t="shared" si="14"/>
        <v>Ahmed Qureshi</v>
      </c>
      <c r="D933" s="17">
        <v>0.15</v>
      </c>
      <c r="E933" s="15">
        <f>IFERROR(IF(Raw_Data!N929="", 0, IF(Raw_Data!N929&gt;1, Raw_Data!N929/100, Raw_Data!N929)), 0)</f>
        <v>0.15</v>
      </c>
      <c r="F933" s="15">
        <f>IFERROR(VALUE(Raw_Data!O929), Raw_Data!L929*Raw_Data!M929)</f>
        <v>208.56</v>
      </c>
    </row>
    <row r="934" spans="2:6" x14ac:dyDescent="0.35">
      <c r="B934" s="13" t="s">
        <v>269</v>
      </c>
      <c r="C934" s="15" t="str">
        <f t="shared" si="14"/>
        <v>Imran Khan</v>
      </c>
      <c r="D934" s="17">
        <v>0.1</v>
      </c>
      <c r="E934" s="15">
        <f>IFERROR(IF(Raw_Data!N930="", 0, IF(Raw_Data!N930&gt;1, Raw_Data!N930/100, Raw_Data!N930)), 0)</f>
        <v>0.1</v>
      </c>
      <c r="F934" s="15">
        <f>IFERROR(VALUE(Raw_Data!O930), Raw_Data!L930*Raw_Data!M930)</f>
        <v>4314.3500000000004</v>
      </c>
    </row>
    <row r="935" spans="2:6" x14ac:dyDescent="0.35">
      <c r="B935" s="13" t="s">
        <v>316</v>
      </c>
      <c r="C935" s="15" t="str">
        <f t="shared" si="14"/>
        <v>Ali Farooq</v>
      </c>
      <c r="D935" s="17">
        <v>0</v>
      </c>
      <c r="E935" s="15">
        <f>IFERROR(IF(Raw_Data!N931="", 0, IF(Raw_Data!N931&gt;1, Raw_Data!N931/100, Raw_Data!N931)), 0)</f>
        <v>0</v>
      </c>
      <c r="F935" s="15">
        <f>IFERROR(VALUE(Raw_Data!O931), Raw_Data!L931*Raw_Data!M931)</f>
        <v>54.52</v>
      </c>
    </row>
    <row r="936" spans="2:6" x14ac:dyDescent="0.35">
      <c r="B936" s="13">
        <v>0</v>
      </c>
      <c r="C936" s="15" t="str">
        <f t="shared" si="14"/>
        <v>Unknown Customer</v>
      </c>
      <c r="D936" s="17">
        <v>0.2</v>
      </c>
      <c r="E936" s="15">
        <f>IFERROR(IF(Raw_Data!N932="", 0, IF(Raw_Data!N932&gt;1, Raw_Data!N932/100, Raw_Data!N932)), 0)</f>
        <v>0.2</v>
      </c>
      <c r="F936" s="15">
        <f>IFERROR(VALUE(Raw_Data!O932), Raw_Data!L932*Raw_Data!M932)</f>
        <v>4066.86</v>
      </c>
    </row>
    <row r="937" spans="2:6" x14ac:dyDescent="0.35">
      <c r="B937" s="13" t="s">
        <v>447</v>
      </c>
      <c r="C937" s="15" t="str">
        <f t="shared" si="14"/>
        <v>Sana Iqbal</v>
      </c>
      <c r="D937" s="17">
        <v>0.15</v>
      </c>
      <c r="E937" s="15">
        <f>IFERROR(IF(Raw_Data!N933="", 0, IF(Raw_Data!N933&gt;1, Raw_Data!N933/100, Raw_Data!N933)), 0)</f>
        <v>0.15</v>
      </c>
      <c r="F937" s="15">
        <f>IFERROR(VALUE(Raw_Data!O933), Raw_Data!L933*Raw_Data!M933)</f>
        <v>2385.2399999999998</v>
      </c>
    </row>
    <row r="938" spans="2:6" x14ac:dyDescent="0.35">
      <c r="B938" s="13" t="s">
        <v>873</v>
      </c>
      <c r="C938" s="15" t="str">
        <f t="shared" si="14"/>
        <v>Omar Iqbal</v>
      </c>
      <c r="D938" s="17">
        <v>0.3</v>
      </c>
      <c r="E938" s="15">
        <f>IFERROR(IF(Raw_Data!N934="", 0, IF(Raw_Data!N934&gt;1, Raw_Data!N934/100, Raw_Data!N934)), 0)</f>
        <v>0.3</v>
      </c>
      <c r="F938" s="15">
        <f>IFERROR(VALUE(Raw_Data!O934), Raw_Data!L934*Raw_Data!M934)</f>
        <v>3792.3</v>
      </c>
    </row>
    <row r="939" spans="2:6" x14ac:dyDescent="0.35">
      <c r="B939" s="13" t="s">
        <v>737</v>
      </c>
      <c r="C939" s="15" t="str">
        <f t="shared" si="14"/>
        <v>Hassan Ansari</v>
      </c>
      <c r="D939" s="17">
        <v>0.1</v>
      </c>
      <c r="E939" s="15">
        <f>IFERROR(IF(Raw_Data!N935="", 0, IF(Raw_Data!N935&gt;1, Raw_Data!N935/100, Raw_Data!N935)), 0)</f>
        <v>0.1</v>
      </c>
      <c r="F939" s="15">
        <f>IFERROR(VALUE(Raw_Data!O935), Raw_Data!L935*Raw_Data!M935)</f>
        <v>1505.8</v>
      </c>
    </row>
    <row r="940" spans="2:6" x14ac:dyDescent="0.35">
      <c r="B940" s="13" t="s">
        <v>221</v>
      </c>
      <c r="C940" s="15" t="str">
        <f t="shared" si="14"/>
        <v>Bilal Chaudhry</v>
      </c>
      <c r="D940" s="17">
        <v>0.3</v>
      </c>
      <c r="E940" s="15">
        <f>IFERROR(IF(Raw_Data!N936="", 0, IF(Raw_Data!N936&gt;1, Raw_Data!N936/100, Raw_Data!N936)), 0)</f>
        <v>0.3</v>
      </c>
      <c r="F940" s="15">
        <f>IFERROR(VALUE(Raw_Data!O936), Raw_Data!L936*Raw_Data!M936)</f>
        <v>5.08</v>
      </c>
    </row>
    <row r="941" spans="2:6" x14ac:dyDescent="0.35">
      <c r="B941" s="13" t="s">
        <v>437</v>
      </c>
      <c r="C941" s="15" t="str">
        <f t="shared" si="14"/>
        <v>Bilal Raza</v>
      </c>
      <c r="D941" s="17">
        <v>0.2</v>
      </c>
      <c r="E941" s="15">
        <f>IFERROR(IF(Raw_Data!N937="", 0, IF(Raw_Data!N937&gt;1, Raw_Data!N937/100, Raw_Data!N937)), 0)</f>
        <v>0.2</v>
      </c>
      <c r="F941" s="15">
        <f>IFERROR(VALUE(Raw_Data!O937), Raw_Data!L937*Raw_Data!M937)</f>
        <v>861.78</v>
      </c>
    </row>
    <row r="942" spans="2:6" x14ac:dyDescent="0.35">
      <c r="B942" s="13" t="s">
        <v>120</v>
      </c>
      <c r="C942" s="15" t="str">
        <f t="shared" si="14"/>
        <v>Adeel Qureshi</v>
      </c>
      <c r="D942" s="17">
        <v>0.2</v>
      </c>
      <c r="E942" s="15">
        <f>IFERROR(IF(Raw_Data!N938="", 0, IF(Raw_Data!N938&gt;1, Raw_Data!N938/100, Raw_Data!N938)), 0)</f>
        <v>0.2</v>
      </c>
      <c r="F942" s="15">
        <f>IFERROR(VALUE(Raw_Data!O938), Raw_Data!L938*Raw_Data!M938)</f>
        <v>2777.76</v>
      </c>
    </row>
    <row r="943" spans="2:6" x14ac:dyDescent="0.35">
      <c r="B943" s="13" t="s">
        <v>688</v>
      </c>
      <c r="C943" s="15" t="str">
        <f t="shared" si="14"/>
        <v>Hassan Raza</v>
      </c>
      <c r="D943" s="17">
        <v>0.15</v>
      </c>
      <c r="E943" s="15">
        <f>IFERROR(IF(Raw_Data!N939="", 0, IF(Raw_Data!N939&gt;1, Raw_Data!N939/100, Raw_Data!N939)), 0)</f>
        <v>0.15</v>
      </c>
      <c r="F943" s="15">
        <f>IFERROR(VALUE(Raw_Data!O939), Raw_Data!L939*Raw_Data!M939)</f>
        <v>2481.6</v>
      </c>
    </row>
    <row r="944" spans="2:6" x14ac:dyDescent="0.35">
      <c r="B944" s="13" t="s">
        <v>163</v>
      </c>
      <c r="C944" s="15" t="str">
        <f t="shared" si="14"/>
        <v>Bilal Butt</v>
      </c>
      <c r="D944" s="17">
        <v>0</v>
      </c>
      <c r="E944" s="15">
        <f>IFERROR(IF(Raw_Data!N940="", 0, IF(Raw_Data!N940&gt;1, Raw_Data!N940/100, Raw_Data!N940)), 0)</f>
        <v>0</v>
      </c>
      <c r="F944" s="15">
        <f>IFERROR(VALUE(Raw_Data!O940), Raw_Data!L940*Raw_Data!M940)</f>
        <v>543.55999999999995</v>
      </c>
    </row>
    <row r="945" spans="2:6" x14ac:dyDescent="0.35">
      <c r="B945" s="13" t="s">
        <v>461</v>
      </c>
      <c r="C945" s="15" t="str">
        <f t="shared" si="14"/>
        <v>Rabia Raza</v>
      </c>
      <c r="D945" s="17">
        <v>0</v>
      </c>
      <c r="E945" s="15">
        <f>IFERROR(IF(Raw_Data!N941="", 0, IF(Raw_Data!N941&gt;1, Raw_Data!N941/100, Raw_Data!N941)), 0)</f>
        <v>0</v>
      </c>
      <c r="F945" s="15">
        <f>IFERROR(VALUE(Raw_Data!O941), Raw_Data!L941*Raw_Data!M941)</f>
        <v>8996.5</v>
      </c>
    </row>
    <row r="946" spans="2:6" x14ac:dyDescent="0.35">
      <c r="B946" s="13" t="s">
        <v>255</v>
      </c>
      <c r="C946" s="15" t="str">
        <f t="shared" si="14"/>
        <v>Tariq Ansari</v>
      </c>
      <c r="D946" s="17">
        <v>0.3</v>
      </c>
      <c r="E946" s="15">
        <f>IFERROR(IF(Raw_Data!N942="", 0, IF(Raw_Data!N942&gt;1, Raw_Data!N942/100, Raw_Data!N942)), 0)</f>
        <v>0.3</v>
      </c>
      <c r="F946" s="15">
        <f>IFERROR(VALUE(Raw_Data!O942), Raw_Data!L942*Raw_Data!M942)</f>
        <v>3852.48</v>
      </c>
    </row>
    <row r="947" spans="2:6" x14ac:dyDescent="0.35">
      <c r="B947" s="13" t="s">
        <v>375</v>
      </c>
      <c r="C947" s="15" t="str">
        <f t="shared" si="14"/>
        <v>Sara Raza</v>
      </c>
      <c r="D947" s="17">
        <v>0.1</v>
      </c>
      <c r="E947" s="15">
        <f>IFERROR(IF(Raw_Data!N943="", 0, IF(Raw_Data!N943&gt;1, Raw_Data!N943/100, Raw_Data!N943)), 0)</f>
        <v>0.1</v>
      </c>
      <c r="F947" s="15">
        <f>IFERROR(VALUE(Raw_Data!O943), Raw_Data!L943*Raw_Data!M943)</f>
        <v>1012.02</v>
      </c>
    </row>
    <row r="948" spans="2:6" x14ac:dyDescent="0.35">
      <c r="B948" s="13" t="s">
        <v>324</v>
      </c>
      <c r="C948" s="15" t="str">
        <f t="shared" si="14"/>
        <v>Hassan Butt</v>
      </c>
      <c r="D948" s="17">
        <v>0</v>
      </c>
      <c r="E948" s="15">
        <f>IFERROR(IF(Raw_Data!N944="", 0, IF(Raw_Data!N944&gt;1, Raw_Data!N944/100, Raw_Data!N944)), 0)</f>
        <v>0</v>
      </c>
      <c r="F948" s="15">
        <f>IFERROR(VALUE(Raw_Data!O944), Raw_Data!L944*Raw_Data!M944)</f>
        <v>9686.7099999999991</v>
      </c>
    </row>
    <row r="949" spans="2:6" x14ac:dyDescent="0.35">
      <c r="B949" s="13" t="s">
        <v>847</v>
      </c>
      <c r="C949" s="15" t="str">
        <f t="shared" si="14"/>
        <v>Sana Sheikh</v>
      </c>
      <c r="D949" s="17">
        <v>0.2</v>
      </c>
      <c r="E949" s="15">
        <f>IFERROR(IF(Raw_Data!N945="", 0, IF(Raw_Data!N945&gt;1, Raw_Data!N945/100, Raw_Data!N945)), 0)</f>
        <v>0.2</v>
      </c>
      <c r="F949" s="15">
        <f>IFERROR(VALUE(Raw_Data!O945), Raw_Data!L945*Raw_Data!M945)</f>
        <v>8331.9</v>
      </c>
    </row>
    <row r="950" spans="2:6" x14ac:dyDescent="0.35">
      <c r="B950" s="13" t="s">
        <v>241</v>
      </c>
      <c r="C950" s="15" t="str">
        <f t="shared" si="14"/>
        <v>Usman Sheikh</v>
      </c>
      <c r="D950" s="17">
        <v>0.1</v>
      </c>
      <c r="E950" s="15">
        <f>IFERROR(IF(Raw_Data!N946="", 0, IF(Raw_Data!N946&gt;1, Raw_Data!N946/100, Raw_Data!N946)), 0)</f>
        <v>0.1</v>
      </c>
      <c r="F950" s="15">
        <f>IFERROR(VALUE(Raw_Data!O946), Raw_Data!L946*Raw_Data!M946)</f>
        <v>6220.32</v>
      </c>
    </row>
    <row r="951" spans="2:6" x14ac:dyDescent="0.35">
      <c r="B951" s="13" t="s">
        <v>535</v>
      </c>
      <c r="C951" s="15" t="str">
        <f t="shared" si="14"/>
        <v>Nida Ansari</v>
      </c>
      <c r="D951" s="17">
        <v>0.1</v>
      </c>
      <c r="E951" s="15">
        <f>IFERROR(IF(Raw_Data!N947="", 0, IF(Raw_Data!N947&gt;1, Raw_Data!N947/100, Raw_Data!N947)), 0)</f>
        <v>0.1</v>
      </c>
      <c r="F951" s="15">
        <f>IFERROR(VALUE(Raw_Data!O947), Raw_Data!L947*Raw_Data!M947)</f>
        <v>1164.6600000000001</v>
      </c>
    </row>
    <row r="952" spans="2:6" x14ac:dyDescent="0.35">
      <c r="B952" s="13" t="s">
        <v>156</v>
      </c>
      <c r="C952" s="15" t="str">
        <f t="shared" si="14"/>
        <v>Adeel Butt</v>
      </c>
      <c r="D952" s="17">
        <v>0</v>
      </c>
      <c r="E952" s="15">
        <f>IFERROR(IF(Raw_Data!N948="", 0, IF(Raw_Data!N948&gt;1, Raw_Data!N948/100, Raw_Data!N948)), 0)</f>
        <v>0</v>
      </c>
      <c r="F952" s="15">
        <f>IFERROR(VALUE(Raw_Data!O948), Raw_Data!L948*Raw_Data!M948)</f>
        <v>3421.6</v>
      </c>
    </row>
    <row r="953" spans="2:6" x14ac:dyDescent="0.35">
      <c r="B953" s="13" t="s">
        <v>445</v>
      </c>
      <c r="C953" s="15" t="str">
        <f t="shared" si="14"/>
        <v>Hassan Sheikh</v>
      </c>
      <c r="D953" s="17">
        <v>0.1</v>
      </c>
      <c r="E953" s="15">
        <f>IFERROR(IF(Raw_Data!N949="", 0, IF(Raw_Data!N949&gt;1, Raw_Data!N949/100, Raw_Data!N949)), 0)</f>
        <v>0.1</v>
      </c>
      <c r="F953" s="15">
        <f>IFERROR(VALUE(Raw_Data!O949), Raw_Data!L949*Raw_Data!M949)</f>
        <v>1641.3</v>
      </c>
    </row>
    <row r="954" spans="2:6" x14ac:dyDescent="0.35">
      <c r="B954" s="13" t="s">
        <v>331</v>
      </c>
      <c r="C954" s="15" t="str">
        <f t="shared" si="14"/>
        <v>Faisal Ansari</v>
      </c>
      <c r="D954" s="17">
        <v>0</v>
      </c>
      <c r="E954" s="15">
        <f>IFERROR(IF(Raw_Data!N950="", 0, IF(Raw_Data!N950&gt;1, Raw_Data!N950/100, Raw_Data!N950)), 0)</f>
        <v>0</v>
      </c>
      <c r="F954" s="15">
        <f>IFERROR(VALUE(Raw_Data!O950), Raw_Data!L950*Raw_Data!M950)</f>
        <v>1330.56</v>
      </c>
    </row>
    <row r="955" spans="2:6" x14ac:dyDescent="0.35">
      <c r="B955" s="13" t="s">
        <v>56</v>
      </c>
      <c r="C955" s="15" t="str">
        <f t="shared" si="14"/>
        <v>Zara Qureshi</v>
      </c>
      <c r="D955" s="17">
        <v>0</v>
      </c>
      <c r="E955" s="15">
        <f>IFERROR(IF(Raw_Data!N951="", 0, IF(Raw_Data!N951&gt;1, Raw_Data!N951/100, Raw_Data!N951)), 0)</f>
        <v>0</v>
      </c>
      <c r="F955" s="15">
        <f>IFERROR(VALUE(Raw_Data!O951), Raw_Data!L951*Raw_Data!M951)</f>
        <v>1917.09</v>
      </c>
    </row>
    <row r="956" spans="2:6" x14ac:dyDescent="0.35">
      <c r="B956" s="13" t="s">
        <v>303</v>
      </c>
      <c r="C956" s="15" t="str">
        <f t="shared" si="14"/>
        <v>Faisal Sheikh</v>
      </c>
      <c r="D956" s="17">
        <v>0</v>
      </c>
      <c r="E956" s="15">
        <f>IFERROR(IF(Raw_Data!N952="", 0, IF(Raw_Data!N952&gt;1, Raw_Data!N952/100, Raw_Data!N952)), 0)</f>
        <v>0</v>
      </c>
      <c r="F956" s="15">
        <f>IFERROR(VALUE(Raw_Data!O952), Raw_Data!L952*Raw_Data!M952)</f>
        <v>7886.43</v>
      </c>
    </row>
    <row r="957" spans="2:6" x14ac:dyDescent="0.35">
      <c r="B957" s="13" t="s">
        <v>1277</v>
      </c>
      <c r="C957" s="15" t="str">
        <f t="shared" si="14"/>
        <v>Sana Raza</v>
      </c>
      <c r="D957" s="17">
        <v>0.15</v>
      </c>
      <c r="E957" s="15">
        <f>IFERROR(IF(Raw_Data!N953="", 0, IF(Raw_Data!N953&gt;1, Raw_Data!N953/100, Raw_Data!N953)), 0)</f>
        <v>0.15</v>
      </c>
      <c r="F957" s="15">
        <f>IFERROR(VALUE(Raw_Data!O953), Raw_Data!L953*Raw_Data!M953)</f>
        <v>5048.88</v>
      </c>
    </row>
    <row r="958" spans="2:6" x14ac:dyDescent="0.35">
      <c r="B958" s="13" t="s">
        <v>312</v>
      </c>
      <c r="C958" s="15" t="str">
        <f t="shared" si="14"/>
        <v>Usman Chaudhry</v>
      </c>
      <c r="D958" s="17">
        <v>0</v>
      </c>
      <c r="E958" s="15">
        <f>IFERROR(IF(Raw_Data!N954="", 0, IF(Raw_Data!N954&gt;1, Raw_Data!N954/100, Raw_Data!N954)), 0)</f>
        <v>0</v>
      </c>
      <c r="F958" s="15">
        <f>IFERROR(VALUE(Raw_Data!O954), Raw_Data!L954*Raw_Data!M954)</f>
        <v>1772.15</v>
      </c>
    </row>
    <row r="959" spans="2:6" x14ac:dyDescent="0.35">
      <c r="B959" s="13" t="s">
        <v>373</v>
      </c>
      <c r="C959" s="15" t="str">
        <f t="shared" si="14"/>
        <v>Kamran Raza</v>
      </c>
      <c r="D959" s="17">
        <v>0</v>
      </c>
      <c r="E959" s="15">
        <f>IFERROR(IF(Raw_Data!N955="", 0, IF(Raw_Data!N955&gt;1, Raw_Data!N955/100, Raw_Data!N955)), 0)</f>
        <v>0</v>
      </c>
      <c r="F959" s="15">
        <f>IFERROR(VALUE(Raw_Data!O955), Raw_Data!L955*Raw_Data!M955)</f>
        <v>3603.06</v>
      </c>
    </row>
    <row r="960" spans="2:6" x14ac:dyDescent="0.35">
      <c r="B960" s="13" t="s">
        <v>675</v>
      </c>
      <c r="C960" s="15" t="str">
        <f t="shared" si="14"/>
        <v>Hina Ansari</v>
      </c>
      <c r="D960" s="17">
        <v>0.3</v>
      </c>
      <c r="E960" s="15">
        <f>IFERROR(IF(Raw_Data!N956="", 0, IF(Raw_Data!N956&gt;1, Raw_Data!N956/100, Raw_Data!N956)), 0)</f>
        <v>0.3</v>
      </c>
      <c r="F960" s="15">
        <f>IFERROR(VALUE(Raw_Data!O956), Raw_Data!L956*Raw_Data!M956)</f>
        <v>6729.48</v>
      </c>
    </row>
    <row r="961" spans="2:6" x14ac:dyDescent="0.35">
      <c r="B961" s="13" t="s">
        <v>110</v>
      </c>
      <c r="C961" s="15" t="str">
        <f t="shared" si="14"/>
        <v>Omar Chaudhry</v>
      </c>
      <c r="D961" s="17">
        <v>0</v>
      </c>
      <c r="E961" s="15">
        <f>IFERROR(IF(Raw_Data!N957="", 0, IF(Raw_Data!N957&gt;1, Raw_Data!N957/100, Raw_Data!N957)), 0)</f>
        <v>0</v>
      </c>
      <c r="F961" s="15">
        <f>IFERROR(VALUE(Raw_Data!O957), Raw_Data!L957*Raw_Data!M957)</f>
        <v>2050.83</v>
      </c>
    </row>
    <row r="962" spans="2:6" x14ac:dyDescent="0.35">
      <c r="B962" s="13" t="s">
        <v>445</v>
      </c>
      <c r="C962" s="15" t="str">
        <f t="shared" si="14"/>
        <v>Hassan Sheikh</v>
      </c>
      <c r="D962" s="17">
        <v>0.2</v>
      </c>
      <c r="E962" s="15">
        <f>IFERROR(IF(Raw_Data!N958="", 0, IF(Raw_Data!N958&gt;1, Raw_Data!N958/100, Raw_Data!N958)), 0)</f>
        <v>0.2</v>
      </c>
      <c r="F962" s="15">
        <f>IFERROR(VALUE(Raw_Data!O958), Raw_Data!L958*Raw_Data!M958)</f>
        <v>2896.1</v>
      </c>
    </row>
    <row r="963" spans="2:6" x14ac:dyDescent="0.35">
      <c r="B963" s="13" t="s">
        <v>476</v>
      </c>
      <c r="C963" s="15" t="str">
        <f t="shared" si="14"/>
        <v>Nida Iqbal</v>
      </c>
      <c r="D963" s="17">
        <v>0.3</v>
      </c>
      <c r="E963" s="15">
        <f>IFERROR(IF(Raw_Data!N959="", 0, IF(Raw_Data!N959&gt;1, Raw_Data!N959/100, Raw_Data!N959)), 0)</f>
        <v>0.3</v>
      </c>
      <c r="F963" s="15">
        <f>IFERROR(VALUE(Raw_Data!O959), Raw_Data!L959*Raw_Data!M959)</f>
        <v>841</v>
      </c>
    </row>
    <row r="964" spans="2:6" x14ac:dyDescent="0.35">
      <c r="B964" s="13" t="s">
        <v>807</v>
      </c>
      <c r="C964" s="15" t="str">
        <f t="shared" si="14"/>
        <v>Bilal Farooq</v>
      </c>
      <c r="D964" s="17">
        <v>0.15</v>
      </c>
      <c r="E964" s="15">
        <f>IFERROR(IF(Raw_Data!N960="", 0, IF(Raw_Data!N960&gt;1, Raw_Data!N960/100, Raw_Data!N960)), 0)</f>
        <v>0.15</v>
      </c>
      <c r="F964" s="15">
        <f>IFERROR(VALUE(Raw_Data!O960), Raw_Data!L960*Raw_Data!M960)</f>
        <v>495.99</v>
      </c>
    </row>
    <row r="965" spans="2:6" x14ac:dyDescent="0.35">
      <c r="B965" s="13" t="s">
        <v>447</v>
      </c>
      <c r="C965" s="15" t="str">
        <f t="shared" si="14"/>
        <v>Sana Iqbal</v>
      </c>
      <c r="D965" s="17">
        <v>0.2</v>
      </c>
      <c r="E965" s="15">
        <f>IFERROR(IF(Raw_Data!N961="", 0, IF(Raw_Data!N961&gt;1, Raw_Data!N961/100, Raw_Data!N961)), 0)</f>
        <v>0.2</v>
      </c>
      <c r="F965" s="15">
        <f>IFERROR(VALUE(Raw_Data!O961), Raw_Data!L961*Raw_Data!M961)</f>
        <v>1251.69</v>
      </c>
    </row>
    <row r="966" spans="2:6" x14ac:dyDescent="0.35">
      <c r="B966" s="13" t="s">
        <v>281</v>
      </c>
      <c r="C966" s="15" t="str">
        <f t="shared" si="14"/>
        <v>Ayesha Sheikh</v>
      </c>
      <c r="D966" s="17">
        <v>0.3</v>
      </c>
      <c r="E966" s="15">
        <f>IFERROR(IF(Raw_Data!N962="", 0, IF(Raw_Data!N962&gt;1, Raw_Data!N962/100, Raw_Data!N962)), 0)</f>
        <v>0.3</v>
      </c>
      <c r="F966" s="15">
        <f>IFERROR(VALUE(Raw_Data!O962), Raw_Data!L962*Raw_Data!M962)</f>
        <v>310.51</v>
      </c>
    </row>
    <row r="967" spans="2:6" x14ac:dyDescent="0.35">
      <c r="B967" s="13" t="s">
        <v>567</v>
      </c>
      <c r="C967" s="15" t="str">
        <f t="shared" ref="C967:C1030" si="15">IF(OR(B967="",B967=0), "Unknown Customer", PROPER(TRIM(B967)))</f>
        <v>Mahnoor Chaudhry</v>
      </c>
      <c r="D967" s="17">
        <v>0.15</v>
      </c>
      <c r="E967" s="15">
        <f>IFERROR(IF(Raw_Data!N963="", 0, IF(Raw_Data!N963&gt;1, Raw_Data!N963/100, Raw_Data!N963)), 0)</f>
        <v>0.15</v>
      </c>
      <c r="F967" s="15">
        <f>IFERROR(VALUE(Raw_Data!O963), Raw_Data!L963*Raw_Data!M963)</f>
        <v>2130.37</v>
      </c>
    </row>
    <row r="968" spans="2:6" x14ac:dyDescent="0.35">
      <c r="B968" s="13" t="s">
        <v>263</v>
      </c>
      <c r="C968" s="15" t="str">
        <f t="shared" si="15"/>
        <v>Ayesha Qureshi</v>
      </c>
      <c r="D968" s="17">
        <v>0.15</v>
      </c>
      <c r="E968" s="15">
        <f>IFERROR(IF(Raw_Data!N964="", 0, IF(Raw_Data!N964&gt;1, Raw_Data!N964/100, Raw_Data!N964)), 0)</f>
        <v>0.15</v>
      </c>
      <c r="F968" s="15">
        <f>IFERROR(VALUE(Raw_Data!O964), Raw_Data!L964*Raw_Data!M964)</f>
        <v>4193</v>
      </c>
    </row>
    <row r="969" spans="2:6" x14ac:dyDescent="0.35">
      <c r="B969" s="13" t="s">
        <v>447</v>
      </c>
      <c r="C969" s="15" t="str">
        <f t="shared" si="15"/>
        <v>Sana Iqbal</v>
      </c>
      <c r="D969" s="17">
        <v>0</v>
      </c>
      <c r="E969" s="15">
        <f>IFERROR(IF(Raw_Data!N965="", 0, IF(Raw_Data!N965&gt;1, Raw_Data!N965/100, Raw_Data!N965)), 0)</f>
        <v>0</v>
      </c>
      <c r="F969" s="15">
        <f>IFERROR(VALUE(Raw_Data!O965), Raw_Data!L965*Raw_Data!M965)</f>
        <v>3757.93</v>
      </c>
    </row>
    <row r="970" spans="2:6" x14ac:dyDescent="0.35">
      <c r="B970" s="13" t="s">
        <v>708</v>
      </c>
      <c r="C970" s="15" t="str">
        <f t="shared" si="15"/>
        <v>Ahmed Sheikh</v>
      </c>
      <c r="D970" s="17">
        <v>0</v>
      </c>
      <c r="E970" s="15">
        <f>IFERROR(IF(Raw_Data!N966="", 0, IF(Raw_Data!N966&gt;1, Raw_Data!N966/100, Raw_Data!N966)), 0)</f>
        <v>0</v>
      </c>
      <c r="F970" s="15">
        <f>IFERROR(VALUE(Raw_Data!O966), Raw_Data!L966*Raw_Data!M966)</f>
        <v>7659.41</v>
      </c>
    </row>
    <row r="971" spans="2:6" x14ac:dyDescent="0.35">
      <c r="B971" s="13" t="s">
        <v>229</v>
      </c>
      <c r="C971" s="15" t="str">
        <f t="shared" si="15"/>
        <v>Ahmed Ansari</v>
      </c>
      <c r="D971" s="17">
        <v>0.2</v>
      </c>
      <c r="E971" s="15">
        <f>IFERROR(IF(Raw_Data!N967="", 0, IF(Raw_Data!N967&gt;1, Raw_Data!N967/100, Raw_Data!N967)), 0)</f>
        <v>0.2</v>
      </c>
      <c r="F971" s="15">
        <f>IFERROR(VALUE(Raw_Data!O967), Raw_Data!L967*Raw_Data!M967)</f>
        <v>1827.1</v>
      </c>
    </row>
    <row r="972" spans="2:6" x14ac:dyDescent="0.35">
      <c r="B972" s="13" t="s">
        <v>283</v>
      </c>
      <c r="C972" s="15" t="str">
        <f t="shared" si="15"/>
        <v>Bilal Khan</v>
      </c>
      <c r="D972" s="17">
        <v>0.2</v>
      </c>
      <c r="E972" s="15">
        <f>IFERROR(IF(Raw_Data!N968="", 0, IF(Raw_Data!N968&gt;1, Raw_Data!N968/100, Raw_Data!N968)), 0)</f>
        <v>0.2</v>
      </c>
      <c r="F972" s="15">
        <f>IFERROR(VALUE(Raw_Data!O968), Raw_Data!L968*Raw_Data!M968)</f>
        <v>395.43</v>
      </c>
    </row>
    <row r="973" spans="2:6" x14ac:dyDescent="0.35">
      <c r="B973" s="13" t="s">
        <v>574</v>
      </c>
      <c r="C973" s="15" t="str">
        <f t="shared" si="15"/>
        <v>Bilal Sheikh</v>
      </c>
      <c r="D973" s="17">
        <v>0</v>
      </c>
      <c r="E973" s="15">
        <f>IFERROR(IF(Raw_Data!N969="", 0, IF(Raw_Data!N969&gt;1, Raw_Data!N969/100, Raw_Data!N969)), 0)</f>
        <v>0</v>
      </c>
      <c r="F973" s="15">
        <f>IFERROR(VALUE(Raw_Data!O969), Raw_Data!L969*Raw_Data!M969)</f>
        <v>491.46</v>
      </c>
    </row>
    <row r="974" spans="2:6" x14ac:dyDescent="0.35">
      <c r="B974" s="13" t="s">
        <v>351</v>
      </c>
      <c r="C974" s="15" t="str">
        <f t="shared" si="15"/>
        <v>Ahmed Qureshi</v>
      </c>
      <c r="D974" s="17">
        <v>0.15</v>
      </c>
      <c r="E974" s="15">
        <f>IFERROR(IF(Raw_Data!N970="", 0, IF(Raw_Data!N970&gt;1, Raw_Data!N970/100, Raw_Data!N970)), 0)</f>
        <v>0.15</v>
      </c>
      <c r="F974" s="15">
        <f>IFERROR(VALUE(Raw_Data!O970), Raw_Data!L970*Raw_Data!M970)</f>
        <v>5236.4399999999996</v>
      </c>
    </row>
    <row r="975" spans="2:6" x14ac:dyDescent="0.35">
      <c r="B975" s="13" t="s">
        <v>184</v>
      </c>
      <c r="C975" s="15" t="str">
        <f t="shared" si="15"/>
        <v>Imran Ansari</v>
      </c>
      <c r="D975" s="17">
        <v>0</v>
      </c>
      <c r="E975" s="15">
        <f>IFERROR(IF(Raw_Data!N971="", 0, IF(Raw_Data!N971&gt;1, Raw_Data!N971/100, Raw_Data!N971)), 0)</f>
        <v>0</v>
      </c>
      <c r="F975" s="15">
        <f>IFERROR(VALUE(Raw_Data!O971), Raw_Data!L971*Raw_Data!M971)</f>
        <v>9658.56</v>
      </c>
    </row>
    <row r="976" spans="2:6" x14ac:dyDescent="0.35">
      <c r="B976" s="13" t="s">
        <v>562</v>
      </c>
      <c r="C976" s="15" t="str">
        <f t="shared" si="15"/>
        <v>Faisal Iqbal</v>
      </c>
      <c r="D976" s="17">
        <v>0</v>
      </c>
      <c r="E976" s="15">
        <f>IFERROR(IF(Raw_Data!N972="", 0, IF(Raw_Data!N972&gt;1, Raw_Data!N972/100, Raw_Data!N972)), 0)</f>
        <v>0</v>
      </c>
      <c r="F976" s="15">
        <f>IFERROR(VALUE(Raw_Data!O972), Raw_Data!L972*Raw_Data!M972)</f>
        <v>8517.2999999999993</v>
      </c>
    </row>
    <row r="977" spans="2:6" x14ac:dyDescent="0.35">
      <c r="B977" s="13" t="s">
        <v>681</v>
      </c>
      <c r="C977" s="15" t="str">
        <f t="shared" si="15"/>
        <v>Fatima Farooq</v>
      </c>
      <c r="D977" s="17">
        <v>0.15</v>
      </c>
      <c r="E977" s="15">
        <f>IFERROR(IF(Raw_Data!N973="", 0, IF(Raw_Data!N973&gt;1, Raw_Data!N973/100, Raw_Data!N973)), 0)</f>
        <v>0.15</v>
      </c>
      <c r="F977" s="15">
        <f>IFERROR(VALUE(Raw_Data!O973), Raw_Data!L973*Raw_Data!M973)</f>
        <v>2606.52</v>
      </c>
    </row>
    <row r="978" spans="2:6" x14ac:dyDescent="0.35">
      <c r="B978" s="13" t="s">
        <v>1299</v>
      </c>
      <c r="C978" s="15" t="str">
        <f t="shared" si="15"/>
        <v>Rabia Chaudhry</v>
      </c>
      <c r="D978" s="17">
        <v>0.15</v>
      </c>
      <c r="E978" s="15">
        <f>IFERROR(IF(Raw_Data!N974="", 0, IF(Raw_Data!N974&gt;1, Raw_Data!N974/100, Raw_Data!N974)), 0)</f>
        <v>0.15</v>
      </c>
      <c r="F978" s="15">
        <f>IFERROR(VALUE(Raw_Data!O974), Raw_Data!L974*Raw_Data!M974)</f>
        <v>2888.04</v>
      </c>
    </row>
    <row r="979" spans="2:6" x14ac:dyDescent="0.35">
      <c r="B979" s="13" t="s">
        <v>373</v>
      </c>
      <c r="C979" s="15" t="str">
        <f t="shared" si="15"/>
        <v>Kamran Raza</v>
      </c>
      <c r="D979" s="17">
        <v>0</v>
      </c>
      <c r="E979" s="15">
        <f>IFERROR(IF(Raw_Data!N975="", 0, IF(Raw_Data!N975&gt;1, Raw_Data!N975/100, Raw_Data!N975)), 0)</f>
        <v>0</v>
      </c>
      <c r="F979" s="15">
        <f>IFERROR(VALUE(Raw_Data!O975), Raw_Data!L975*Raw_Data!M975)</f>
        <v>4661.93</v>
      </c>
    </row>
    <row r="980" spans="2:6" x14ac:dyDescent="0.35">
      <c r="B980" s="13">
        <v>0</v>
      </c>
      <c r="C980" s="15" t="str">
        <f t="shared" si="15"/>
        <v>Unknown Customer</v>
      </c>
      <c r="D980" s="17">
        <v>0.3</v>
      </c>
      <c r="E980" s="15">
        <f>IFERROR(IF(Raw_Data!N976="", 0, IF(Raw_Data!N976&gt;1, Raw_Data!N976/100, Raw_Data!N976)), 0)</f>
        <v>0.3</v>
      </c>
      <c r="F980" s="15">
        <f>IFERROR(VALUE(Raw_Data!O976), Raw_Data!L976*Raw_Data!M976)</f>
        <v>965.8</v>
      </c>
    </row>
    <row r="981" spans="2:6" x14ac:dyDescent="0.35">
      <c r="B981" s="13">
        <v>0</v>
      </c>
      <c r="C981" s="15" t="str">
        <f t="shared" si="15"/>
        <v>Unknown Customer</v>
      </c>
      <c r="D981" s="17">
        <v>0.15</v>
      </c>
      <c r="E981" s="15">
        <f>IFERROR(IF(Raw_Data!N977="", 0, IF(Raw_Data!N977&gt;1, Raw_Data!N977/100, Raw_Data!N977)), 0)</f>
        <v>0.15</v>
      </c>
      <c r="F981" s="15">
        <f>IFERROR(VALUE(Raw_Data!O977), Raw_Data!L977*Raw_Data!M977)</f>
        <v>1075.3499999999999</v>
      </c>
    </row>
    <row r="982" spans="2:6" x14ac:dyDescent="0.35">
      <c r="B982" s="13" t="s">
        <v>301</v>
      </c>
      <c r="C982" s="15" t="str">
        <f t="shared" si="15"/>
        <v>Sara Malik</v>
      </c>
      <c r="D982" s="17">
        <v>0</v>
      </c>
      <c r="E982" s="15">
        <f>IFERROR(IF(Raw_Data!N978="", 0, IF(Raw_Data!N978&gt;1, Raw_Data!N978/100, Raw_Data!N978)), 0)</f>
        <v>0</v>
      </c>
      <c r="F982" s="15">
        <f>IFERROR(VALUE(Raw_Data!O978), Raw_Data!L978*Raw_Data!M978)</f>
        <v>385.27</v>
      </c>
    </row>
    <row r="983" spans="2:6" x14ac:dyDescent="0.35">
      <c r="B983" s="13" t="s">
        <v>465</v>
      </c>
      <c r="C983" s="15" t="str">
        <f t="shared" si="15"/>
        <v>Ali Ansari</v>
      </c>
      <c r="D983" s="17">
        <v>0.1</v>
      </c>
      <c r="E983" s="15">
        <f>IFERROR(IF(Raw_Data!N979="", 0, IF(Raw_Data!N979&gt;1, Raw_Data!N979/100, Raw_Data!N979)), 0)</f>
        <v>0.1</v>
      </c>
      <c r="F983" s="15">
        <f>IFERROR(VALUE(Raw_Data!O979), Raw_Data!L979*Raw_Data!M979)</f>
        <v>8014.8</v>
      </c>
    </row>
    <row r="984" spans="2:6" x14ac:dyDescent="0.35">
      <c r="B984" s="13" t="s">
        <v>383</v>
      </c>
      <c r="C984" s="15" t="str">
        <f t="shared" si="15"/>
        <v>Omar Ansari</v>
      </c>
      <c r="D984" s="17">
        <v>0.15</v>
      </c>
      <c r="E984" s="15">
        <f>IFERROR(IF(Raw_Data!N980="", 0, IF(Raw_Data!N980&gt;1, Raw_Data!N980/100, Raw_Data!N980)), 0)</f>
        <v>0.15</v>
      </c>
      <c r="F984" s="15">
        <f>IFERROR(VALUE(Raw_Data!O980), Raw_Data!L980*Raw_Data!M980)</f>
        <v>1457.05</v>
      </c>
    </row>
    <row r="985" spans="2:6" x14ac:dyDescent="0.35">
      <c r="B985" s="13" t="s">
        <v>422</v>
      </c>
      <c r="C985" s="15" t="str">
        <f t="shared" si="15"/>
        <v>Fatima Butt</v>
      </c>
      <c r="D985" s="17">
        <v>0</v>
      </c>
      <c r="E985" s="15">
        <f>IFERROR(IF(Raw_Data!N981="", 0, IF(Raw_Data!N981&gt;1, Raw_Data!N981/100, Raw_Data!N981)), 0)</f>
        <v>0</v>
      </c>
      <c r="F985" s="15">
        <f>IFERROR(VALUE(Raw_Data!O981), Raw_Data!L981*Raw_Data!M981)</f>
        <v>1081.78</v>
      </c>
    </row>
    <row r="986" spans="2:6" x14ac:dyDescent="0.35">
      <c r="B986" s="13" t="s">
        <v>406</v>
      </c>
      <c r="C986" s="15" t="str">
        <f t="shared" si="15"/>
        <v>Ali Khan</v>
      </c>
      <c r="D986" s="17">
        <v>0</v>
      </c>
      <c r="E986" s="15">
        <f>IFERROR(IF(Raw_Data!N982="", 0, IF(Raw_Data!N982&gt;1, Raw_Data!N982/100, Raw_Data!N982)), 0)</f>
        <v>0</v>
      </c>
      <c r="F986" s="15">
        <f>IFERROR(VALUE(Raw_Data!O982), Raw_Data!L982*Raw_Data!M982)</f>
        <v>1130.8599999999999</v>
      </c>
    </row>
    <row r="987" spans="2:6" x14ac:dyDescent="0.35">
      <c r="B987" s="13" t="s">
        <v>403</v>
      </c>
      <c r="C987" s="15" t="str">
        <f t="shared" si="15"/>
        <v>Adeel Ansari</v>
      </c>
      <c r="D987" s="17">
        <v>0.15</v>
      </c>
      <c r="E987" s="15">
        <f>IFERROR(IF(Raw_Data!N983="", 0, IF(Raw_Data!N983&gt;1, Raw_Data!N983/100, Raw_Data!N983)), 0)</f>
        <v>0.15</v>
      </c>
      <c r="F987" s="15">
        <f>IFERROR(VALUE(Raw_Data!O983), Raw_Data!L983*Raw_Data!M983)</f>
        <v>229.1</v>
      </c>
    </row>
    <row r="988" spans="2:6" x14ac:dyDescent="0.35">
      <c r="B988" s="13">
        <v>0</v>
      </c>
      <c r="C988" s="15" t="str">
        <f t="shared" si="15"/>
        <v>Unknown Customer</v>
      </c>
      <c r="D988" s="17">
        <v>0.15</v>
      </c>
      <c r="E988" s="15">
        <f>IFERROR(IF(Raw_Data!N984="", 0, IF(Raw_Data!N984&gt;1, Raw_Data!N984/100, Raw_Data!N984)), 0)</f>
        <v>0.15</v>
      </c>
      <c r="F988" s="15">
        <f>IFERROR(VALUE(Raw_Data!O984), Raw_Data!L984*Raw_Data!M984)</f>
        <v>2779.75</v>
      </c>
    </row>
    <row r="989" spans="2:6" x14ac:dyDescent="0.35">
      <c r="B989" s="13" t="s">
        <v>574</v>
      </c>
      <c r="C989" s="15" t="str">
        <f t="shared" si="15"/>
        <v>Bilal Sheikh</v>
      </c>
      <c r="D989" s="17">
        <v>0</v>
      </c>
      <c r="E989" s="15">
        <f>IFERROR(IF(Raw_Data!N985="", 0, IF(Raw_Data!N985&gt;1, Raw_Data!N985/100, Raw_Data!N985)), 0)</f>
        <v>0</v>
      </c>
      <c r="F989" s="15">
        <f>IFERROR(VALUE(Raw_Data!O985), Raw_Data!L985*Raw_Data!M985)</f>
        <v>3483.83</v>
      </c>
    </row>
    <row r="990" spans="2:6" x14ac:dyDescent="0.35">
      <c r="B990" s="13" t="s">
        <v>737</v>
      </c>
      <c r="C990" s="15" t="str">
        <f t="shared" si="15"/>
        <v>Hassan Ansari</v>
      </c>
      <c r="D990" s="17">
        <v>0.3</v>
      </c>
      <c r="E990" s="15">
        <f>IFERROR(IF(Raw_Data!N986="", 0, IF(Raw_Data!N986&gt;1, Raw_Data!N986/100, Raw_Data!N986)), 0)</f>
        <v>0.3</v>
      </c>
      <c r="F990" s="15">
        <f>IFERROR(VALUE(Raw_Data!O986), Raw_Data!L986*Raw_Data!M986)</f>
        <v>2007.18</v>
      </c>
    </row>
    <row r="991" spans="2:6" x14ac:dyDescent="0.35">
      <c r="B991" s="13" t="s">
        <v>681</v>
      </c>
      <c r="C991" s="15" t="str">
        <f t="shared" si="15"/>
        <v>Fatima Farooq</v>
      </c>
      <c r="D991" s="17">
        <v>0</v>
      </c>
      <c r="E991" s="15">
        <f>IFERROR(IF(Raw_Data!N987="", 0, IF(Raw_Data!N987&gt;1, Raw_Data!N987/100, Raw_Data!N987)), 0)</f>
        <v>0</v>
      </c>
      <c r="F991" s="15">
        <f>IFERROR(VALUE(Raw_Data!O987), Raw_Data!L987*Raw_Data!M987)</f>
        <v>1484.01</v>
      </c>
    </row>
    <row r="992" spans="2:6" x14ac:dyDescent="0.35">
      <c r="B992" s="13" t="s">
        <v>233</v>
      </c>
      <c r="C992" s="15" t="str">
        <f t="shared" si="15"/>
        <v>Omar Sheikh</v>
      </c>
      <c r="D992" s="17">
        <v>0.15</v>
      </c>
      <c r="E992" s="15">
        <f>IFERROR(IF(Raw_Data!N988="", 0, IF(Raw_Data!N988&gt;1, Raw_Data!N988/100, Raw_Data!N988)), 0)</f>
        <v>0.15</v>
      </c>
      <c r="F992" s="15">
        <f>IFERROR(VALUE(Raw_Data!O988), Raw_Data!L988*Raw_Data!M988)</f>
        <v>3194.45</v>
      </c>
    </row>
    <row r="993" spans="2:6" x14ac:dyDescent="0.35">
      <c r="B993" s="13" t="s">
        <v>93</v>
      </c>
      <c r="C993" s="15" t="str">
        <f t="shared" si="15"/>
        <v>Fatima Qureshi</v>
      </c>
      <c r="D993" s="17">
        <v>0.1</v>
      </c>
      <c r="E993" s="15">
        <f>IFERROR(IF(Raw_Data!N989="", 0, IF(Raw_Data!N989&gt;1, Raw_Data!N989/100, Raw_Data!N989)), 0)</f>
        <v>0.1</v>
      </c>
      <c r="F993" s="15">
        <f>IFERROR(VALUE(Raw_Data!O989), Raw_Data!L989*Raw_Data!M989)</f>
        <v>6103.9</v>
      </c>
    </row>
    <row r="994" spans="2:6" x14ac:dyDescent="0.35">
      <c r="B994" s="13" t="s">
        <v>295</v>
      </c>
      <c r="C994" s="15" t="str">
        <f t="shared" si="15"/>
        <v>Rabia Butt</v>
      </c>
      <c r="D994" s="17">
        <v>0</v>
      </c>
      <c r="E994" s="15">
        <f>IFERROR(IF(Raw_Data!N990="", 0, IF(Raw_Data!N990&gt;1, Raw_Data!N990/100, Raw_Data!N990)), 0)</f>
        <v>0</v>
      </c>
      <c r="F994" s="15">
        <f>IFERROR(VALUE(Raw_Data!O990), Raw_Data!L990*Raw_Data!M990)</f>
        <v>3787.1</v>
      </c>
    </row>
    <row r="995" spans="2:6" x14ac:dyDescent="0.35">
      <c r="B995" s="13" t="s">
        <v>71</v>
      </c>
      <c r="C995" s="15" t="str">
        <f t="shared" si="15"/>
        <v>Nida Khan</v>
      </c>
      <c r="D995" s="17">
        <v>0.15</v>
      </c>
      <c r="E995" s="15">
        <f>IFERROR(IF(Raw_Data!N991="", 0, IF(Raw_Data!N991&gt;1, Raw_Data!N991/100, Raw_Data!N991)), 0)</f>
        <v>0.15</v>
      </c>
      <c r="F995" s="15">
        <f>IFERROR(VALUE(Raw_Data!O991), Raw_Data!L991*Raw_Data!M991)</f>
        <v>4646.16</v>
      </c>
    </row>
    <row r="996" spans="2:6" x14ac:dyDescent="0.35">
      <c r="B996" s="13" t="s">
        <v>326</v>
      </c>
      <c r="C996" s="15" t="str">
        <f t="shared" si="15"/>
        <v>Ali Raza</v>
      </c>
      <c r="D996" s="17">
        <v>0</v>
      </c>
      <c r="E996" s="15">
        <f>IFERROR(IF(Raw_Data!N992="", 0, IF(Raw_Data!N992&gt;1, Raw_Data!N992/100, Raw_Data!N992)), 0)</f>
        <v>0</v>
      </c>
      <c r="F996" s="15">
        <f>IFERROR(VALUE(Raw_Data!O992), Raw_Data!L992*Raw_Data!M992)</f>
        <v>1519.94</v>
      </c>
    </row>
    <row r="997" spans="2:6" x14ac:dyDescent="0.35">
      <c r="B997" s="13" t="s">
        <v>410</v>
      </c>
      <c r="C997" s="15" t="str">
        <f t="shared" si="15"/>
        <v>Hassan Farooq</v>
      </c>
      <c r="D997" s="17">
        <v>0</v>
      </c>
      <c r="E997" s="15">
        <f>IFERROR(IF(Raw_Data!N993="", 0, IF(Raw_Data!N993&gt;1, Raw_Data!N993/100, Raw_Data!N993)), 0)</f>
        <v>0</v>
      </c>
      <c r="F997" s="15">
        <f>IFERROR(VALUE(Raw_Data!O993), Raw_Data!L993*Raw_Data!M993)</f>
        <v>114.48</v>
      </c>
    </row>
    <row r="998" spans="2:6" x14ac:dyDescent="0.35">
      <c r="B998" s="13" t="s">
        <v>1318</v>
      </c>
      <c r="C998" s="15" t="str">
        <f t="shared" si="15"/>
        <v>Sara Chaudhry</v>
      </c>
      <c r="D998" s="17">
        <v>0.1</v>
      </c>
      <c r="E998" s="15">
        <f>IFERROR(IF(Raw_Data!N994="", 0, IF(Raw_Data!N994&gt;1, Raw_Data!N994/100, Raw_Data!N994)), 0)</f>
        <v>0.1</v>
      </c>
      <c r="F998" s="15">
        <f>IFERROR(VALUE(Raw_Data!O994), Raw_Data!L994*Raw_Data!M994)</f>
        <v>2009.22</v>
      </c>
    </row>
    <row r="999" spans="2:6" x14ac:dyDescent="0.35">
      <c r="B999" s="13" t="s">
        <v>204</v>
      </c>
      <c r="C999" s="15" t="str">
        <f t="shared" si="15"/>
        <v>Faisal Farooq</v>
      </c>
      <c r="D999" s="17">
        <v>0</v>
      </c>
      <c r="E999" s="15">
        <f>IFERROR(IF(Raw_Data!N995="", 0, IF(Raw_Data!N995&gt;1, Raw_Data!N995/100, Raw_Data!N995)), 0)</f>
        <v>0</v>
      </c>
      <c r="F999" s="15">
        <f>IFERROR(VALUE(Raw_Data!O995), Raw_Data!L995*Raw_Data!M995)</f>
        <v>44.51</v>
      </c>
    </row>
    <row r="1000" spans="2:6" x14ac:dyDescent="0.35">
      <c r="B1000" s="13" t="s">
        <v>314</v>
      </c>
      <c r="C1000" s="15" t="str">
        <f t="shared" si="15"/>
        <v>Sara Butt</v>
      </c>
      <c r="D1000" s="17">
        <v>0.2</v>
      </c>
      <c r="E1000" s="15">
        <f>IFERROR(IF(Raw_Data!N996="", 0, IF(Raw_Data!N996&gt;1, Raw_Data!N996/100, Raw_Data!N996)), 0)</f>
        <v>0.2</v>
      </c>
      <c r="F1000" s="15">
        <f>IFERROR(VALUE(Raw_Data!O996), Raw_Data!L996*Raw_Data!M996)</f>
        <v>2682</v>
      </c>
    </row>
    <row r="1001" spans="2:6" x14ac:dyDescent="0.35">
      <c r="B1001" s="13" t="s">
        <v>171</v>
      </c>
      <c r="C1001" s="15" t="str">
        <f t="shared" si="15"/>
        <v>Sara Khan</v>
      </c>
      <c r="D1001" s="17">
        <v>0</v>
      </c>
      <c r="E1001" s="15">
        <f>IFERROR(IF(Raw_Data!N997="", 0, IF(Raw_Data!N997&gt;1, Raw_Data!N997/100, Raw_Data!N997)), 0)</f>
        <v>0</v>
      </c>
      <c r="F1001" s="15">
        <f>IFERROR(VALUE(Raw_Data!O997), Raw_Data!L997*Raw_Data!M997)</f>
        <v>654.4</v>
      </c>
    </row>
    <row r="1002" spans="2:6" x14ac:dyDescent="0.35">
      <c r="B1002" s="13" t="s">
        <v>231</v>
      </c>
      <c r="C1002" s="15" t="str">
        <f t="shared" si="15"/>
        <v>Fatima Malik</v>
      </c>
      <c r="D1002" s="17">
        <v>0.15</v>
      </c>
      <c r="E1002" s="15">
        <f>IFERROR(IF(Raw_Data!N998="", 0, IF(Raw_Data!N998&gt;1, Raw_Data!N998/100, Raw_Data!N998)), 0)</f>
        <v>0.15</v>
      </c>
      <c r="F1002" s="15">
        <f>IFERROR(VALUE(Raw_Data!O998), Raw_Data!L998*Raw_Data!M998)</f>
        <v>1816.59</v>
      </c>
    </row>
    <row r="1003" spans="2:6" x14ac:dyDescent="0.35">
      <c r="B1003" s="13" t="s">
        <v>342</v>
      </c>
      <c r="C1003" s="15" t="str">
        <f t="shared" si="15"/>
        <v>Hassan Chaudhry</v>
      </c>
      <c r="D1003" s="17">
        <v>0</v>
      </c>
      <c r="E1003" s="15">
        <f>IFERROR(IF(Raw_Data!N999="", 0, IF(Raw_Data!N999&gt;1, Raw_Data!N999/100, Raw_Data!N999)), 0)</f>
        <v>0</v>
      </c>
      <c r="F1003" s="15">
        <f>IFERROR(VALUE(Raw_Data!O999), Raw_Data!L999*Raw_Data!M999)</f>
        <v>943.48</v>
      </c>
    </row>
    <row r="1004" spans="2:6" x14ac:dyDescent="0.35">
      <c r="B1004" s="13" t="s">
        <v>505</v>
      </c>
      <c r="C1004" s="15" t="str">
        <f t="shared" si="15"/>
        <v>Imran Iqbal</v>
      </c>
      <c r="D1004" s="17">
        <v>0.3</v>
      </c>
      <c r="E1004" s="15">
        <f>IFERROR(IF(Raw_Data!N1000="", 0, IF(Raw_Data!N1000&gt;1, Raw_Data!N1000/100, Raw_Data!N1000)), 0)</f>
        <v>0.3</v>
      </c>
      <c r="F1004" s="15">
        <f>IFERROR(VALUE(Raw_Data!O1000), Raw_Data!L1000*Raw_Data!M1000)</f>
        <v>336.24</v>
      </c>
    </row>
    <row r="1005" spans="2:6" x14ac:dyDescent="0.35">
      <c r="B1005" s="13" t="s">
        <v>574</v>
      </c>
      <c r="C1005" s="15" t="str">
        <f t="shared" si="15"/>
        <v>Bilal Sheikh</v>
      </c>
      <c r="D1005" s="17">
        <v>0.1</v>
      </c>
      <c r="E1005" s="15">
        <f>IFERROR(IF(Raw_Data!N1001="", 0, IF(Raw_Data!N1001&gt;1, Raw_Data!N1001/100, Raw_Data!N1001)), 0)</f>
        <v>0.1</v>
      </c>
      <c r="F1005" s="15">
        <f>IFERROR(VALUE(Raw_Data!O1001), Raw_Data!L1001*Raw_Data!M1001)</f>
        <v>7184.87</v>
      </c>
    </row>
    <row r="1006" spans="2:6" x14ac:dyDescent="0.35">
      <c r="B1006" s="13" t="s">
        <v>478</v>
      </c>
      <c r="C1006" s="15" t="str">
        <f t="shared" si="15"/>
        <v>Adeel Sheikh</v>
      </c>
      <c r="D1006" s="17">
        <v>0.1</v>
      </c>
      <c r="E1006" s="15">
        <f>IFERROR(IF(Raw_Data!N1002="", 0, IF(Raw_Data!N1002&gt;1, Raw_Data!N1002/100, Raw_Data!N1002)), 0)</f>
        <v>0.1</v>
      </c>
      <c r="F1006" s="15">
        <f>IFERROR(VALUE(Raw_Data!O1002), Raw_Data!L1002*Raw_Data!M1002)</f>
        <v>3227.22</v>
      </c>
    </row>
    <row r="1007" spans="2:6" x14ac:dyDescent="0.35">
      <c r="B1007" s="13" t="s">
        <v>847</v>
      </c>
      <c r="C1007" s="15" t="str">
        <f t="shared" si="15"/>
        <v>Sana Sheikh</v>
      </c>
      <c r="D1007" s="17">
        <v>0.3</v>
      </c>
      <c r="E1007" s="15">
        <f>IFERROR(IF(Raw_Data!N1003="", 0, IF(Raw_Data!N1003&gt;1, Raw_Data!N1003/100, Raw_Data!N1003)), 0)</f>
        <v>0.3</v>
      </c>
      <c r="F1007" s="15">
        <f>IFERROR(VALUE(Raw_Data!O1003), Raw_Data!L1003*Raw_Data!M1003)</f>
        <v>1971.54</v>
      </c>
    </row>
    <row r="1008" spans="2:6" x14ac:dyDescent="0.35">
      <c r="B1008" s="13" t="s">
        <v>395</v>
      </c>
      <c r="C1008" s="15" t="str">
        <f t="shared" si="15"/>
        <v>Usman Farooq</v>
      </c>
      <c r="D1008" s="17">
        <v>0</v>
      </c>
      <c r="E1008" s="15">
        <f>IFERROR(IF(Raw_Data!N1004="", 0, IF(Raw_Data!N1004&gt;1, Raw_Data!N1004/100, Raw_Data!N1004)), 0)</f>
        <v>0</v>
      </c>
      <c r="F1008" s="15">
        <f>IFERROR(VALUE(Raw_Data!O1004), Raw_Data!L1004*Raw_Data!M1004)</f>
        <v>6269.5</v>
      </c>
    </row>
    <row r="1009" spans="2:6" x14ac:dyDescent="0.35">
      <c r="B1009" s="13" t="s">
        <v>941</v>
      </c>
      <c r="C1009" s="15" t="str">
        <f t="shared" si="15"/>
        <v>Ayesha Khan</v>
      </c>
      <c r="D1009" s="17">
        <v>0</v>
      </c>
      <c r="E1009" s="15">
        <f>IFERROR(IF(Raw_Data!N1005="", 0, IF(Raw_Data!N1005&gt;1, Raw_Data!N1005/100, Raw_Data!N1005)), 0)</f>
        <v>0</v>
      </c>
      <c r="F1009" s="15">
        <f>IFERROR(VALUE(Raw_Data!O1005), Raw_Data!L1005*Raw_Data!M1005)</f>
        <v>246.93</v>
      </c>
    </row>
    <row r="1010" spans="2:6" x14ac:dyDescent="0.35">
      <c r="B1010" s="13" t="s">
        <v>351</v>
      </c>
      <c r="C1010" s="15" t="str">
        <f t="shared" si="15"/>
        <v>Ahmed Qureshi</v>
      </c>
      <c r="D1010" s="17">
        <v>0.1</v>
      </c>
      <c r="E1010" s="15">
        <f>IFERROR(IF(Raw_Data!N1006="", 0, IF(Raw_Data!N1006&gt;1, Raw_Data!N1006/100, Raw_Data!N1006)), 0)</f>
        <v>0.1</v>
      </c>
      <c r="F1010" s="15">
        <f>IFERROR(VALUE(Raw_Data!O1006), Raw_Data!L1006*Raw_Data!M1006)</f>
        <v>2125.5500000000002</v>
      </c>
    </row>
    <row r="1011" spans="2:6" x14ac:dyDescent="0.35">
      <c r="B1011" s="13" t="s">
        <v>386</v>
      </c>
      <c r="C1011" s="15" t="str">
        <f t="shared" si="15"/>
        <v>Tariq Farooq</v>
      </c>
      <c r="D1011" s="17">
        <v>0</v>
      </c>
      <c r="E1011" s="15">
        <f>IFERROR(IF(Raw_Data!N1007="", 0, IF(Raw_Data!N1007&gt;1, Raw_Data!N1007/100, Raw_Data!N1007)), 0)</f>
        <v>0</v>
      </c>
      <c r="F1011" s="15">
        <f>IFERROR(VALUE(Raw_Data!O1007), Raw_Data!L1007*Raw_Data!M1007)</f>
        <v>524.88</v>
      </c>
    </row>
    <row r="1012" spans="2:6" x14ac:dyDescent="0.35">
      <c r="B1012" s="13" t="s">
        <v>784</v>
      </c>
      <c r="C1012" s="15" t="str">
        <f t="shared" si="15"/>
        <v>Faisal Chaudhry</v>
      </c>
      <c r="D1012" s="17">
        <v>0.3</v>
      </c>
      <c r="E1012" s="15">
        <f>IFERROR(IF(Raw_Data!N1008="", 0, IF(Raw_Data!N1008&gt;1, Raw_Data!N1008/100, Raw_Data!N1008)), 0)</f>
        <v>0.3</v>
      </c>
      <c r="F1012" s="15">
        <f>IFERROR(VALUE(Raw_Data!O1008), Raw_Data!L1008*Raw_Data!M1008)</f>
        <v>3342.3</v>
      </c>
    </row>
    <row r="1013" spans="2:6" x14ac:dyDescent="0.35">
      <c r="B1013" s="13" t="s">
        <v>287</v>
      </c>
      <c r="C1013" s="15" t="str">
        <f t="shared" si="15"/>
        <v>Fatima Chaudhry</v>
      </c>
      <c r="D1013" s="17">
        <v>0.3</v>
      </c>
      <c r="E1013" s="15">
        <f>IFERROR(IF(Raw_Data!N1009="", 0, IF(Raw_Data!N1009&gt;1, Raw_Data!N1009/100, Raw_Data!N1009)), 0)</f>
        <v>0.3</v>
      </c>
      <c r="F1013" s="15">
        <f>IFERROR(VALUE(Raw_Data!O1009), Raw_Data!L1009*Raw_Data!M1009)</f>
        <v>2767.12</v>
      </c>
    </row>
    <row r="1014" spans="2:6" x14ac:dyDescent="0.35">
      <c r="B1014" s="13" t="s">
        <v>77</v>
      </c>
      <c r="C1014" s="15" t="str">
        <f t="shared" si="15"/>
        <v>Mahnoor Iqbal</v>
      </c>
      <c r="D1014" s="17">
        <v>0.2</v>
      </c>
      <c r="E1014" s="15">
        <f>IFERROR(IF(Raw_Data!N1010="", 0, IF(Raw_Data!N1010&gt;1, Raw_Data!N1010/100, Raw_Data!N1010)), 0)</f>
        <v>0.2</v>
      </c>
      <c r="F1014" s="15">
        <f>IFERROR(VALUE(Raw_Data!O1010), Raw_Data!L1010*Raw_Data!M1010)</f>
        <v>263.95999999999998</v>
      </c>
    </row>
    <row r="1015" spans="2:6" x14ac:dyDescent="0.35">
      <c r="B1015" s="13" t="s">
        <v>461</v>
      </c>
      <c r="C1015" s="15" t="str">
        <f t="shared" si="15"/>
        <v>Rabia Raza</v>
      </c>
      <c r="D1015" s="17">
        <v>0</v>
      </c>
      <c r="E1015" s="15">
        <f>IFERROR(IF(Raw_Data!N1011="", 0, IF(Raw_Data!N1011&gt;1, Raw_Data!N1011/100, Raw_Data!N1011)), 0)</f>
        <v>0</v>
      </c>
      <c r="F1015" s="15">
        <f>IFERROR(VALUE(Raw_Data!O1011), Raw_Data!L1011*Raw_Data!M1011)</f>
        <v>406.28</v>
      </c>
    </row>
    <row r="1016" spans="2:6" x14ac:dyDescent="0.35">
      <c r="B1016" s="13" t="s">
        <v>617</v>
      </c>
      <c r="C1016" s="15" t="str">
        <f t="shared" si="15"/>
        <v>Nida Qureshi</v>
      </c>
      <c r="D1016" s="17">
        <v>0.3</v>
      </c>
      <c r="E1016" s="15">
        <f>IFERROR(IF(Raw_Data!N1012="", 0, IF(Raw_Data!N1012&gt;1, Raw_Data!N1012/100, Raw_Data!N1012)), 0)</f>
        <v>0.3</v>
      </c>
      <c r="F1016" s="15">
        <f>IFERROR(VALUE(Raw_Data!O1012), Raw_Data!L1012*Raw_Data!M1012)</f>
        <v>53.45</v>
      </c>
    </row>
    <row r="1017" spans="2:6" x14ac:dyDescent="0.35">
      <c r="B1017" s="13" t="s">
        <v>337</v>
      </c>
      <c r="C1017" s="15" t="str">
        <f t="shared" si="15"/>
        <v>Usman Ansari</v>
      </c>
      <c r="D1017" s="17">
        <v>0.2</v>
      </c>
      <c r="E1017" s="15">
        <f>IFERROR(IF(Raw_Data!N1013="", 0, IF(Raw_Data!N1013&gt;1, Raw_Data!N1013/100, Raw_Data!N1013)), 0)</f>
        <v>0.2</v>
      </c>
      <c r="F1017" s="15">
        <f>IFERROR(VALUE(Raw_Data!O1013), Raw_Data!L1013*Raw_Data!M1013)</f>
        <v>1171.78</v>
      </c>
    </row>
    <row r="1018" spans="2:6" x14ac:dyDescent="0.35">
      <c r="B1018" s="13" t="s">
        <v>98</v>
      </c>
      <c r="C1018" s="15" t="str">
        <f t="shared" si="15"/>
        <v>Sana Ansari</v>
      </c>
      <c r="D1018" s="17">
        <v>0.3</v>
      </c>
      <c r="E1018" s="15">
        <f>IFERROR(IF(Raw_Data!N1014="", 0, IF(Raw_Data!N1014&gt;1, Raw_Data!N1014/100, Raw_Data!N1014)), 0)</f>
        <v>0.3</v>
      </c>
      <c r="F1018" s="15">
        <f>IFERROR(VALUE(Raw_Data!O1014), Raw_Data!L1014*Raw_Data!M1014)</f>
        <v>752.36</v>
      </c>
    </row>
    <row r="1019" spans="2:6" x14ac:dyDescent="0.35">
      <c r="B1019" s="13" t="s">
        <v>551</v>
      </c>
      <c r="C1019" s="15" t="str">
        <f t="shared" si="15"/>
        <v>Kamran Chaudhry</v>
      </c>
      <c r="D1019" s="17">
        <v>0</v>
      </c>
      <c r="E1019" s="15">
        <f>IFERROR(IF(Raw_Data!N1015="", 0, IF(Raw_Data!N1015&gt;1, Raw_Data!N1015/100, Raw_Data!N1015)), 0)</f>
        <v>0</v>
      </c>
      <c r="F1019" s="15">
        <f>IFERROR(VALUE(Raw_Data!O1015), Raw_Data!L1015*Raw_Data!M1015)</f>
        <v>2568.9</v>
      </c>
    </row>
    <row r="1020" spans="2:6" x14ac:dyDescent="0.35">
      <c r="B1020" s="13" t="s">
        <v>422</v>
      </c>
      <c r="C1020" s="15" t="str">
        <f t="shared" si="15"/>
        <v>Fatima Butt</v>
      </c>
      <c r="D1020" s="17">
        <v>0</v>
      </c>
      <c r="E1020" s="15">
        <f>IFERROR(IF(Raw_Data!N1016="", 0, IF(Raw_Data!N1016&gt;1, Raw_Data!N1016/100, Raw_Data!N1016)), 0)</f>
        <v>0</v>
      </c>
      <c r="F1020" s="15">
        <f>IFERROR(VALUE(Raw_Data!O1016), Raw_Data!L1016*Raw_Data!M1016)</f>
        <v>2927.87</v>
      </c>
    </row>
    <row r="1021" spans="2:6" x14ac:dyDescent="0.35">
      <c r="B1021" s="13" t="s">
        <v>395</v>
      </c>
      <c r="C1021" s="15" t="str">
        <f t="shared" si="15"/>
        <v>Usman Farooq</v>
      </c>
      <c r="D1021" s="17">
        <v>0</v>
      </c>
      <c r="E1021" s="15">
        <f>IFERROR(IF(Raw_Data!N1017="", 0, IF(Raw_Data!N1017&gt;1, Raw_Data!N1017/100, Raw_Data!N1017)), 0)</f>
        <v>0</v>
      </c>
      <c r="F1021" s="15">
        <f>IFERROR(VALUE(Raw_Data!O1017), Raw_Data!L1017*Raw_Data!M1017)</f>
        <v>2555.41</v>
      </c>
    </row>
    <row r="1022" spans="2:6" x14ac:dyDescent="0.35">
      <c r="B1022" s="13" t="s">
        <v>442</v>
      </c>
      <c r="C1022" s="15" t="str">
        <f t="shared" si="15"/>
        <v>Kamran Iqbal</v>
      </c>
      <c r="D1022" s="17">
        <v>0</v>
      </c>
      <c r="E1022" s="15">
        <f>IFERROR(IF(Raw_Data!N1018="", 0, IF(Raw_Data!N1018&gt;1, Raw_Data!N1018/100, Raw_Data!N1018)), 0)</f>
        <v>0</v>
      </c>
      <c r="F1022" s="15">
        <f>IFERROR(VALUE(Raw_Data!O1018), Raw_Data!L1018*Raw_Data!M1018)</f>
        <v>2488.59</v>
      </c>
    </row>
    <row r="1023" spans="2:6" x14ac:dyDescent="0.35">
      <c r="B1023" s="13" t="s">
        <v>319</v>
      </c>
      <c r="C1023" s="15" t="str">
        <f t="shared" si="15"/>
        <v>Sana Raza</v>
      </c>
      <c r="D1023" s="17">
        <v>0.15</v>
      </c>
      <c r="E1023" s="15">
        <f>IFERROR(IF(Raw_Data!N1019="", 0, IF(Raw_Data!N1019&gt;1, Raw_Data!N1019/100, Raw_Data!N1019)), 0)</f>
        <v>0.15</v>
      </c>
      <c r="F1023" s="15">
        <f>IFERROR(VALUE(Raw_Data!O1019), Raw_Data!L1019*Raw_Data!M1019)</f>
        <v>3286.4</v>
      </c>
    </row>
    <row r="1024" spans="2:6" x14ac:dyDescent="0.35">
      <c r="B1024" s="13" t="s">
        <v>81</v>
      </c>
      <c r="C1024" s="15" t="str">
        <f t="shared" si="15"/>
        <v>Zara Butt</v>
      </c>
      <c r="D1024" s="17">
        <v>0.3</v>
      </c>
      <c r="E1024" s="15">
        <f>IFERROR(IF(Raw_Data!N1020="", 0, IF(Raw_Data!N1020&gt;1, Raw_Data!N1020/100, Raw_Data!N1020)), 0)</f>
        <v>0.3</v>
      </c>
      <c r="F1024" s="15">
        <f>IFERROR(VALUE(Raw_Data!O1020), Raw_Data!L1020*Raw_Data!M1020)</f>
        <v>2019.36</v>
      </c>
    </row>
    <row r="1025" spans="2:6" x14ac:dyDescent="0.35">
      <c r="B1025" s="13" t="s">
        <v>599</v>
      </c>
      <c r="C1025" s="15" t="str">
        <f t="shared" si="15"/>
        <v>Ayesha Malik</v>
      </c>
      <c r="D1025" s="17">
        <v>0</v>
      </c>
      <c r="E1025" s="15">
        <f>IFERROR(IF(Raw_Data!N1021="", 0, IF(Raw_Data!N1021&gt;1, Raw_Data!N1021/100, Raw_Data!N1021)), 0)</f>
        <v>0</v>
      </c>
      <c r="F1025" s="15">
        <f>IFERROR(VALUE(Raw_Data!O1021), Raw_Data!L1021*Raw_Data!M1021)</f>
        <v>3461.8</v>
      </c>
    </row>
    <row r="1026" spans="2:6" x14ac:dyDescent="0.35">
      <c r="B1026" s="13" t="s">
        <v>424</v>
      </c>
      <c r="C1026" s="15" t="str">
        <f t="shared" si="15"/>
        <v>Tariq Qureshi</v>
      </c>
      <c r="D1026" s="17">
        <v>0.2</v>
      </c>
      <c r="E1026" s="15">
        <f>IFERROR(IF(Raw_Data!N1022="", 0, IF(Raw_Data!N1022&gt;1, Raw_Data!N1022/100, Raw_Data!N1022)), 0)</f>
        <v>0.2</v>
      </c>
      <c r="F1026" s="15">
        <f>IFERROR(VALUE(Raw_Data!O1022), Raw_Data!L1022*Raw_Data!M1022)</f>
        <v>9850.32</v>
      </c>
    </row>
    <row r="1027" spans="2:6" x14ac:dyDescent="0.35">
      <c r="B1027" s="13" t="s">
        <v>261</v>
      </c>
      <c r="C1027" s="15" t="str">
        <f t="shared" si="15"/>
        <v>Mahnoor Malik</v>
      </c>
      <c r="D1027" s="17">
        <v>0</v>
      </c>
      <c r="E1027" s="15">
        <f>IFERROR(IF(Raw_Data!N1023="", 0, IF(Raw_Data!N1023&gt;1, Raw_Data!N1023/100, Raw_Data!N1023)), 0)</f>
        <v>0</v>
      </c>
      <c r="F1027" s="15">
        <f>IFERROR(VALUE(Raw_Data!O1023), Raw_Data!L1023*Raw_Data!M1023)</f>
        <v>9997.56</v>
      </c>
    </row>
    <row r="1028" spans="2:6" x14ac:dyDescent="0.35">
      <c r="B1028" s="13" t="s">
        <v>368</v>
      </c>
      <c r="C1028" s="15" t="str">
        <f t="shared" si="15"/>
        <v>Hassan Khan</v>
      </c>
      <c r="D1028" s="17">
        <v>0.3</v>
      </c>
      <c r="E1028" s="15">
        <f>IFERROR(IF(Raw_Data!N1024="", 0, IF(Raw_Data!N1024&gt;1, Raw_Data!N1024/100, Raw_Data!N1024)), 0)</f>
        <v>0.3</v>
      </c>
      <c r="F1028" s="15">
        <f>IFERROR(VALUE(Raw_Data!O1024), Raw_Data!L1024*Raw_Data!M1024)</f>
        <v>4623.3599999999997</v>
      </c>
    </row>
    <row r="1029" spans="2:6" x14ac:dyDescent="0.35">
      <c r="B1029" s="13" t="s">
        <v>708</v>
      </c>
      <c r="C1029" s="15" t="str">
        <f t="shared" si="15"/>
        <v>Ahmed Sheikh</v>
      </c>
      <c r="D1029" s="17">
        <v>0.15</v>
      </c>
      <c r="E1029" s="15">
        <f>IFERROR(IF(Raw_Data!N1025="", 0, IF(Raw_Data!N1025&gt;1, Raw_Data!N1025/100, Raw_Data!N1025)), 0)</f>
        <v>0.15</v>
      </c>
      <c r="F1029" s="15">
        <f>IFERROR(VALUE(Raw_Data!O1025), Raw_Data!L1025*Raw_Data!M1025)</f>
        <v>231.6</v>
      </c>
    </row>
    <row r="1030" spans="2:6" x14ac:dyDescent="0.35">
      <c r="B1030" s="13" t="s">
        <v>213</v>
      </c>
      <c r="C1030" s="15" t="str">
        <f t="shared" si="15"/>
        <v>Hina Iqbal</v>
      </c>
      <c r="D1030" s="17">
        <v>0.15</v>
      </c>
      <c r="E1030" s="15">
        <f>IFERROR(IF(Raw_Data!N1026="", 0, IF(Raw_Data!N1026&gt;1, Raw_Data!N1026/100, Raw_Data!N1026)), 0)</f>
        <v>0.15</v>
      </c>
      <c r="F1030" s="15">
        <f>IFERROR(VALUE(Raw_Data!O1026), Raw_Data!L1026*Raw_Data!M1026)</f>
        <v>321.2</v>
      </c>
    </row>
    <row r="1031" spans="2:6" x14ac:dyDescent="0.35">
      <c r="B1031" s="13">
        <v>0</v>
      </c>
      <c r="C1031" s="15" t="str">
        <f t="shared" ref="C1031:C1094" si="16">IF(OR(B1031="",B1031=0), "Unknown Customer", PROPER(TRIM(B1031)))</f>
        <v>Unknown Customer</v>
      </c>
      <c r="D1031" s="17">
        <v>0</v>
      </c>
      <c r="E1031" s="15">
        <f>IFERROR(IF(Raw_Data!N1027="", 0, IF(Raw_Data!N1027&gt;1, Raw_Data!N1027/100, Raw_Data!N1027)), 0)</f>
        <v>0</v>
      </c>
      <c r="F1031" s="15">
        <f>IFERROR(VALUE(Raw_Data!O1027), Raw_Data!L1027*Raw_Data!M1027)</f>
        <v>2606.61</v>
      </c>
    </row>
    <row r="1032" spans="2:6" x14ac:dyDescent="0.35">
      <c r="B1032" s="13" t="s">
        <v>56</v>
      </c>
      <c r="C1032" s="15" t="str">
        <f t="shared" si="16"/>
        <v>Zara Qureshi</v>
      </c>
      <c r="D1032" s="17">
        <v>0.1</v>
      </c>
      <c r="E1032" s="15">
        <f>IFERROR(IF(Raw_Data!N1028="", 0, IF(Raw_Data!N1028&gt;1, Raw_Data!N1028/100, Raw_Data!N1028)), 0)</f>
        <v>0.1</v>
      </c>
      <c r="F1032" s="15">
        <f>IFERROR(VALUE(Raw_Data!O1028), Raw_Data!L1028*Raw_Data!M1028)</f>
        <v>565.75</v>
      </c>
    </row>
    <row r="1033" spans="2:6" x14ac:dyDescent="0.35">
      <c r="B1033" s="13" t="s">
        <v>143</v>
      </c>
      <c r="C1033" s="15" t="str">
        <f t="shared" si="16"/>
        <v>Zara Sheikh</v>
      </c>
      <c r="D1033" s="17">
        <v>0</v>
      </c>
      <c r="E1033" s="15">
        <f>IFERROR(IF(Raw_Data!N1029="", 0, IF(Raw_Data!N1029&gt;1, Raw_Data!N1029/100, Raw_Data!N1029)), 0)</f>
        <v>0</v>
      </c>
      <c r="F1033" s="15">
        <f>IFERROR(VALUE(Raw_Data!O1029), Raw_Data!L1029*Raw_Data!M1029)</f>
        <v>7105.89</v>
      </c>
    </row>
    <row r="1034" spans="2:6" x14ac:dyDescent="0.35">
      <c r="B1034" s="13" t="s">
        <v>324</v>
      </c>
      <c r="C1034" s="15" t="str">
        <f t="shared" si="16"/>
        <v>Hassan Butt</v>
      </c>
      <c r="D1034" s="17">
        <v>0</v>
      </c>
      <c r="E1034" s="15">
        <f>IFERROR(IF(Raw_Data!N1030="", 0, IF(Raw_Data!N1030&gt;1, Raw_Data!N1030/100, Raw_Data!N1030)), 0)</f>
        <v>0</v>
      </c>
      <c r="F1034" s="15">
        <f>IFERROR(VALUE(Raw_Data!O1030), Raw_Data!L1030*Raw_Data!M1030)</f>
        <v>2762.04</v>
      </c>
    </row>
    <row r="1035" spans="2:6" x14ac:dyDescent="0.35">
      <c r="B1035" s="13" t="s">
        <v>143</v>
      </c>
      <c r="C1035" s="15" t="str">
        <f t="shared" si="16"/>
        <v>Zara Sheikh</v>
      </c>
      <c r="D1035" s="17">
        <v>0</v>
      </c>
      <c r="E1035" s="15">
        <f>IFERROR(IF(Raw_Data!N1031="", 0, IF(Raw_Data!N1031&gt;1, Raw_Data!N1031/100, Raw_Data!N1031)), 0)</f>
        <v>0</v>
      </c>
      <c r="F1035" s="15">
        <f>IFERROR(VALUE(Raw_Data!O1031), Raw_Data!L1031*Raw_Data!M1031)</f>
        <v>2870.8</v>
      </c>
    </row>
    <row r="1036" spans="2:6" x14ac:dyDescent="0.35">
      <c r="B1036" s="13" t="s">
        <v>158</v>
      </c>
      <c r="C1036" s="15" t="str">
        <f t="shared" si="16"/>
        <v>Mahnoor Khan</v>
      </c>
      <c r="D1036" s="17">
        <v>0.15</v>
      </c>
      <c r="E1036" s="15">
        <f>IFERROR(IF(Raw_Data!N1032="", 0, IF(Raw_Data!N1032&gt;1, Raw_Data!N1032/100, Raw_Data!N1032)), 0)</f>
        <v>0.15</v>
      </c>
      <c r="F1036" s="15">
        <f>IFERROR(VALUE(Raw_Data!O1032), Raw_Data!L1032*Raw_Data!M1032)</f>
        <v>3624.84</v>
      </c>
    </row>
    <row r="1037" spans="2:6" x14ac:dyDescent="0.35">
      <c r="B1037" s="13" t="s">
        <v>781</v>
      </c>
      <c r="C1037" s="15" t="str">
        <f t="shared" si="16"/>
        <v>Tariq Sheikh</v>
      </c>
      <c r="D1037" s="17">
        <v>0</v>
      </c>
      <c r="E1037" s="15">
        <f>IFERROR(IF(Raw_Data!N1033="", 0, IF(Raw_Data!N1033&gt;1, Raw_Data!N1033/100, Raw_Data!N1033)), 0)</f>
        <v>0</v>
      </c>
      <c r="F1037" s="15">
        <f>IFERROR(VALUE(Raw_Data!O1033), Raw_Data!L1033*Raw_Data!M1033)</f>
        <v>6665.67</v>
      </c>
    </row>
    <row r="1038" spans="2:6" x14ac:dyDescent="0.35">
      <c r="B1038" s="13" t="s">
        <v>301</v>
      </c>
      <c r="C1038" s="15" t="str">
        <f t="shared" si="16"/>
        <v>Sara Malik</v>
      </c>
      <c r="D1038" s="17">
        <v>0.3</v>
      </c>
      <c r="E1038" s="15">
        <f>IFERROR(IF(Raw_Data!N1034="", 0, IF(Raw_Data!N1034&gt;1, Raw_Data!N1034/100, Raw_Data!N1034)), 0)</f>
        <v>0.3</v>
      </c>
      <c r="F1038" s="15">
        <f>IFERROR(VALUE(Raw_Data!O1034), Raw_Data!L1034*Raw_Data!M1034)</f>
        <v>899.88</v>
      </c>
    </row>
    <row r="1039" spans="2:6" x14ac:dyDescent="0.35">
      <c r="B1039" s="13" t="s">
        <v>89</v>
      </c>
      <c r="C1039" s="15" t="str">
        <f t="shared" si="16"/>
        <v>Hina Khan</v>
      </c>
      <c r="D1039" s="17">
        <v>0.2</v>
      </c>
      <c r="E1039" s="15">
        <f>IFERROR(IF(Raw_Data!N1035="", 0, IF(Raw_Data!N1035&gt;1, Raw_Data!N1035/100, Raw_Data!N1035)), 0)</f>
        <v>0.2</v>
      </c>
      <c r="F1039" s="15">
        <f>IFERROR(VALUE(Raw_Data!O1035), Raw_Data!L1035*Raw_Data!M1035)</f>
        <v>664.23</v>
      </c>
    </row>
    <row r="1040" spans="2:6" x14ac:dyDescent="0.35">
      <c r="B1040" s="13" t="s">
        <v>122</v>
      </c>
      <c r="C1040" s="15" t="str">
        <f t="shared" si="16"/>
        <v>Hina Malik</v>
      </c>
      <c r="D1040" s="17">
        <v>0.3</v>
      </c>
      <c r="E1040" s="15">
        <f>IFERROR(IF(Raw_Data!N1036="", 0, IF(Raw_Data!N1036&gt;1, Raw_Data!N1036/100, Raw_Data!N1036)), 0)</f>
        <v>0.3</v>
      </c>
      <c r="F1040" s="15">
        <f>IFERROR(VALUE(Raw_Data!O1036), Raw_Data!L1036*Raw_Data!M1036)</f>
        <v>4598.72</v>
      </c>
    </row>
    <row r="1041" spans="2:6" x14ac:dyDescent="0.35">
      <c r="B1041" s="13" t="s">
        <v>351</v>
      </c>
      <c r="C1041" s="15" t="str">
        <f t="shared" si="16"/>
        <v>Ahmed Qureshi</v>
      </c>
      <c r="D1041" s="17">
        <v>0.15</v>
      </c>
      <c r="E1041" s="15">
        <f>IFERROR(IF(Raw_Data!N1037="", 0, IF(Raw_Data!N1037&gt;1, Raw_Data!N1037/100, Raw_Data!N1037)), 0)</f>
        <v>0.15</v>
      </c>
      <c r="F1041" s="15">
        <f>IFERROR(VALUE(Raw_Data!O1037), Raw_Data!L1037*Raw_Data!M1037)</f>
        <v>459.12</v>
      </c>
    </row>
    <row r="1042" spans="2:6" x14ac:dyDescent="0.35">
      <c r="B1042" s="13" t="s">
        <v>424</v>
      </c>
      <c r="C1042" s="15" t="str">
        <f t="shared" si="16"/>
        <v>Tariq Qureshi</v>
      </c>
      <c r="D1042" s="17">
        <v>0</v>
      </c>
      <c r="E1042" s="15">
        <f>IFERROR(IF(Raw_Data!N1038="", 0, IF(Raw_Data!N1038&gt;1, Raw_Data!N1038/100, Raw_Data!N1038)), 0)</f>
        <v>0</v>
      </c>
      <c r="F1042" s="15">
        <f>IFERROR(VALUE(Raw_Data!O1038), Raw_Data!L1038*Raw_Data!M1038)</f>
        <v>9057.2900000000009</v>
      </c>
    </row>
    <row r="1043" spans="2:6" x14ac:dyDescent="0.35">
      <c r="B1043" s="13" t="s">
        <v>1362</v>
      </c>
      <c r="C1043" s="15" t="str">
        <f t="shared" si="16"/>
        <v>Sana Raza</v>
      </c>
      <c r="D1043" s="17">
        <v>0.3</v>
      </c>
      <c r="E1043" s="15">
        <f>IFERROR(IF(Raw_Data!N1039="", 0, IF(Raw_Data!N1039&gt;1, Raw_Data!N1039/100, Raw_Data!N1039)), 0)</f>
        <v>0.3</v>
      </c>
      <c r="F1043" s="15">
        <f>IFERROR(VALUE(Raw_Data!O1039), Raw_Data!L1039*Raw_Data!M1039)</f>
        <v>547.48</v>
      </c>
    </row>
    <row r="1044" spans="2:6" x14ac:dyDescent="0.35">
      <c r="B1044" s="13" t="s">
        <v>269</v>
      </c>
      <c r="C1044" s="15" t="str">
        <f t="shared" si="16"/>
        <v>Imran Khan</v>
      </c>
      <c r="D1044" s="17">
        <v>0</v>
      </c>
      <c r="E1044" s="15">
        <f>IFERROR(IF(Raw_Data!N1040="", 0, IF(Raw_Data!N1040&gt;1, Raw_Data!N1040/100, Raw_Data!N1040)), 0)</f>
        <v>0</v>
      </c>
      <c r="F1044" s="15">
        <f>IFERROR(VALUE(Raw_Data!O1040), Raw_Data!L1040*Raw_Data!M1040)</f>
        <v>399.52</v>
      </c>
    </row>
    <row r="1045" spans="2:6" x14ac:dyDescent="0.35">
      <c r="B1045" s="13" t="s">
        <v>784</v>
      </c>
      <c r="C1045" s="15" t="str">
        <f t="shared" si="16"/>
        <v>Faisal Chaudhry</v>
      </c>
      <c r="D1045" s="17">
        <v>0.2</v>
      </c>
      <c r="E1045" s="15">
        <f>IFERROR(IF(Raw_Data!N1041="", 0, IF(Raw_Data!N1041&gt;1, Raw_Data!N1041/100, Raw_Data!N1041)), 0)</f>
        <v>0.2</v>
      </c>
      <c r="F1045" s="15">
        <f>IFERROR(VALUE(Raw_Data!O1041), Raw_Data!L1041*Raw_Data!M1041)</f>
        <v>5248.86</v>
      </c>
    </row>
    <row r="1046" spans="2:6" x14ac:dyDescent="0.35">
      <c r="B1046" s="13" t="s">
        <v>576</v>
      </c>
      <c r="C1046" s="15" t="str">
        <f t="shared" si="16"/>
        <v>Rabia Sheikh</v>
      </c>
      <c r="D1046" s="17">
        <v>0.1</v>
      </c>
      <c r="E1046" s="15">
        <f>IFERROR(IF(Raw_Data!N1042="", 0, IF(Raw_Data!N1042&gt;1, Raw_Data!N1042/100, Raw_Data!N1042)), 0)</f>
        <v>0.1</v>
      </c>
      <c r="F1046" s="15">
        <f>IFERROR(VALUE(Raw_Data!O1042), Raw_Data!L1042*Raw_Data!M1042)</f>
        <v>3229.36</v>
      </c>
    </row>
    <row r="1047" spans="2:6" x14ac:dyDescent="0.35">
      <c r="B1047" s="13" t="s">
        <v>26</v>
      </c>
      <c r="C1047" s="15" t="str">
        <f t="shared" si="16"/>
        <v>Fatima Raza</v>
      </c>
      <c r="D1047" s="17">
        <v>0</v>
      </c>
      <c r="E1047" s="15">
        <f>IFERROR(IF(Raw_Data!N1043="", 0, IF(Raw_Data!N1043&gt;1, Raw_Data!N1043/100, Raw_Data!N1043)), 0)</f>
        <v>0</v>
      </c>
      <c r="F1047" s="15">
        <f>IFERROR(VALUE(Raw_Data!O1043), Raw_Data!L1043*Raw_Data!M1043)</f>
        <v>2567.16</v>
      </c>
    </row>
    <row r="1048" spans="2:6" x14ac:dyDescent="0.35">
      <c r="B1048" s="13" t="s">
        <v>1367</v>
      </c>
      <c r="C1048" s="15" t="str">
        <f t="shared" si="16"/>
        <v>Faisal Raza</v>
      </c>
      <c r="D1048" s="17">
        <v>0.1</v>
      </c>
      <c r="E1048" s="15">
        <f>IFERROR(IF(Raw_Data!N1044="", 0, IF(Raw_Data!N1044&gt;1, Raw_Data!N1044/100, Raw_Data!N1044)), 0)</f>
        <v>0.1</v>
      </c>
      <c r="F1048" s="15">
        <f>IFERROR(VALUE(Raw_Data!O1044), Raw_Data!L1044*Raw_Data!M1044)</f>
        <v>218.4</v>
      </c>
    </row>
    <row r="1049" spans="2:6" x14ac:dyDescent="0.35">
      <c r="B1049" s="13" t="s">
        <v>267</v>
      </c>
      <c r="C1049" s="15" t="str">
        <f t="shared" si="16"/>
        <v>Nida Chaudhry</v>
      </c>
      <c r="D1049" s="17">
        <v>0.1</v>
      </c>
      <c r="E1049" s="15">
        <f>IFERROR(IF(Raw_Data!N1045="", 0, IF(Raw_Data!N1045&gt;1, Raw_Data!N1045/100, Raw_Data!N1045)), 0)</f>
        <v>0.1</v>
      </c>
      <c r="F1049" s="15">
        <f>IFERROR(VALUE(Raw_Data!O1045), Raw_Data!L1045*Raw_Data!M1045)</f>
        <v>1894.65</v>
      </c>
    </row>
    <row r="1050" spans="2:6" x14ac:dyDescent="0.35">
      <c r="B1050" s="13" t="s">
        <v>492</v>
      </c>
      <c r="C1050" s="15" t="str">
        <f t="shared" si="16"/>
        <v>Sara Sheikh</v>
      </c>
      <c r="D1050" s="17">
        <v>0</v>
      </c>
      <c r="E1050" s="15">
        <f>IFERROR(IF(Raw_Data!N1046="", 0, IF(Raw_Data!N1046&gt;1, Raw_Data!N1046/100, Raw_Data!N1046)), 0)</f>
        <v>0</v>
      </c>
      <c r="F1050" s="15">
        <f>IFERROR(VALUE(Raw_Data!O1046), Raw_Data!L1046*Raw_Data!M1046)</f>
        <v>6350.85</v>
      </c>
    </row>
    <row r="1051" spans="2:6" x14ac:dyDescent="0.35">
      <c r="B1051" s="13" t="s">
        <v>319</v>
      </c>
      <c r="C1051" s="15" t="str">
        <f t="shared" si="16"/>
        <v>Sana Raza</v>
      </c>
      <c r="D1051" s="17">
        <v>0.1</v>
      </c>
      <c r="E1051" s="15">
        <f>IFERROR(IF(Raw_Data!N1047="", 0, IF(Raw_Data!N1047&gt;1, Raw_Data!N1047/100, Raw_Data!N1047)), 0)</f>
        <v>0.1</v>
      </c>
      <c r="F1051" s="15">
        <f>IFERROR(VALUE(Raw_Data!O1047), Raw_Data!L1047*Raw_Data!M1047)</f>
        <v>1687.06</v>
      </c>
    </row>
    <row r="1052" spans="2:6" x14ac:dyDescent="0.35">
      <c r="B1052" s="13" t="s">
        <v>805</v>
      </c>
      <c r="C1052" s="15" t="str">
        <f t="shared" si="16"/>
        <v>Sara Qureshi</v>
      </c>
      <c r="D1052" s="17">
        <v>0.3</v>
      </c>
      <c r="E1052" s="15">
        <f>IFERROR(IF(Raw_Data!N1048="", 0, IF(Raw_Data!N1048&gt;1, Raw_Data!N1048/100, Raw_Data!N1048)), 0)</f>
        <v>0.3</v>
      </c>
      <c r="F1052" s="15">
        <f>IFERROR(VALUE(Raw_Data!O1048), Raw_Data!L1048*Raw_Data!M1048)</f>
        <v>1024.44</v>
      </c>
    </row>
    <row r="1053" spans="2:6" x14ac:dyDescent="0.35">
      <c r="B1053" s="13" t="s">
        <v>263</v>
      </c>
      <c r="C1053" s="15" t="str">
        <f t="shared" si="16"/>
        <v>Ayesha Qureshi</v>
      </c>
      <c r="D1053" s="17">
        <v>0.2</v>
      </c>
      <c r="E1053" s="15">
        <f>IFERROR(IF(Raw_Data!N1049="", 0, IF(Raw_Data!N1049&gt;1, Raw_Data!N1049/100, Raw_Data!N1049)), 0)</f>
        <v>0.2</v>
      </c>
      <c r="F1053" s="15">
        <f>IFERROR(VALUE(Raw_Data!O1049), Raw_Data!L1049*Raw_Data!M1049)</f>
        <v>5300.22</v>
      </c>
    </row>
    <row r="1054" spans="2:6" x14ac:dyDescent="0.35">
      <c r="B1054" s="13" t="s">
        <v>574</v>
      </c>
      <c r="C1054" s="15" t="str">
        <f t="shared" si="16"/>
        <v>Bilal Sheikh</v>
      </c>
      <c r="D1054" s="17">
        <v>0</v>
      </c>
      <c r="E1054" s="15">
        <f>IFERROR(IF(Raw_Data!N1050="", 0, IF(Raw_Data!N1050&gt;1, Raw_Data!N1050/100, Raw_Data!N1050)), 0)</f>
        <v>0</v>
      </c>
      <c r="F1054" s="15">
        <f>IFERROR(VALUE(Raw_Data!O1050), Raw_Data!L1050*Raw_Data!M1050)</f>
        <v>4909.59</v>
      </c>
    </row>
    <row r="1055" spans="2:6" x14ac:dyDescent="0.35">
      <c r="B1055" s="13" t="s">
        <v>556</v>
      </c>
      <c r="C1055" s="15" t="str">
        <f t="shared" si="16"/>
        <v>Zara Malik</v>
      </c>
      <c r="D1055" s="17">
        <v>0.15</v>
      </c>
      <c r="E1055" s="15">
        <f>IFERROR(IF(Raw_Data!N1051="", 0, IF(Raw_Data!N1051&gt;1, Raw_Data!N1051/100, Raw_Data!N1051)), 0)</f>
        <v>0.15</v>
      </c>
      <c r="F1055" s="15">
        <f>IFERROR(VALUE(Raw_Data!O1051), Raw_Data!L1051*Raw_Data!M1051)</f>
        <v>3882.45</v>
      </c>
    </row>
    <row r="1056" spans="2:6" x14ac:dyDescent="0.35">
      <c r="B1056" s="13" t="s">
        <v>71</v>
      </c>
      <c r="C1056" s="15" t="str">
        <f t="shared" si="16"/>
        <v>Nida Khan</v>
      </c>
      <c r="D1056" s="17">
        <v>0.3</v>
      </c>
      <c r="E1056" s="15">
        <f>IFERROR(IF(Raw_Data!N1052="", 0, IF(Raw_Data!N1052&gt;1, Raw_Data!N1052/100, Raw_Data!N1052)), 0)</f>
        <v>0.3</v>
      </c>
      <c r="F1056" s="15">
        <f>IFERROR(VALUE(Raw_Data!O1052), Raw_Data!L1052*Raw_Data!M1052)</f>
        <v>2738.1</v>
      </c>
    </row>
    <row r="1057" spans="2:6" x14ac:dyDescent="0.35">
      <c r="B1057" s="13" t="s">
        <v>375</v>
      </c>
      <c r="C1057" s="15" t="str">
        <f t="shared" si="16"/>
        <v>Sara Raza</v>
      </c>
      <c r="D1057" s="17">
        <v>0.2</v>
      </c>
      <c r="E1057" s="15">
        <f>IFERROR(IF(Raw_Data!N1053="", 0, IF(Raw_Data!N1053&gt;1, Raw_Data!N1053/100, Raw_Data!N1053)), 0)</f>
        <v>0.2</v>
      </c>
      <c r="F1057" s="15">
        <f>IFERROR(VALUE(Raw_Data!O1053), Raw_Data!L1053*Raw_Data!M1053)</f>
        <v>4579.92</v>
      </c>
    </row>
    <row r="1058" spans="2:6" x14ac:dyDescent="0.35">
      <c r="B1058" s="13" t="s">
        <v>316</v>
      </c>
      <c r="C1058" s="15" t="str">
        <f t="shared" si="16"/>
        <v>Ali Farooq</v>
      </c>
      <c r="D1058" s="17">
        <v>0.3</v>
      </c>
      <c r="E1058" s="15">
        <f>IFERROR(IF(Raw_Data!N1054="", 0, IF(Raw_Data!N1054&gt;1, Raw_Data!N1054/100, Raw_Data!N1054)), 0)</f>
        <v>0.3</v>
      </c>
      <c r="F1058" s="15">
        <f>IFERROR(VALUE(Raw_Data!O1054), Raw_Data!L1054*Raw_Data!M1054)</f>
        <v>2700.45</v>
      </c>
    </row>
    <row r="1059" spans="2:6" x14ac:dyDescent="0.35">
      <c r="B1059" s="13" t="s">
        <v>492</v>
      </c>
      <c r="C1059" s="15" t="str">
        <f t="shared" si="16"/>
        <v>Sara Sheikh</v>
      </c>
      <c r="D1059" s="17">
        <v>0.2</v>
      </c>
      <c r="E1059" s="15">
        <f>IFERROR(IF(Raw_Data!N1055="", 0, IF(Raw_Data!N1055&gt;1, Raw_Data!N1055/100, Raw_Data!N1055)), 0)</f>
        <v>0.2</v>
      </c>
      <c r="F1059" s="15">
        <f>IFERROR(VALUE(Raw_Data!O1055), Raw_Data!L1055*Raw_Data!M1055)</f>
        <v>3771.95</v>
      </c>
    </row>
    <row r="1060" spans="2:6" x14ac:dyDescent="0.35">
      <c r="B1060" s="13" t="s">
        <v>565</v>
      </c>
      <c r="C1060" s="15" t="str">
        <f t="shared" si="16"/>
        <v>Fatima Khan</v>
      </c>
      <c r="D1060" s="17">
        <v>0</v>
      </c>
      <c r="E1060" s="15">
        <f>IFERROR(IF(Raw_Data!N1056="", 0, IF(Raw_Data!N1056&gt;1, Raw_Data!N1056/100, Raw_Data!N1056)), 0)</f>
        <v>0</v>
      </c>
      <c r="F1060" s="15">
        <f>IFERROR(VALUE(Raw_Data!O1056), Raw_Data!L1056*Raw_Data!M1056)</f>
        <v>3028.5</v>
      </c>
    </row>
    <row r="1061" spans="2:6" x14ac:dyDescent="0.35">
      <c r="B1061" s="13" t="s">
        <v>213</v>
      </c>
      <c r="C1061" s="15" t="str">
        <f t="shared" si="16"/>
        <v>Hina Iqbal</v>
      </c>
      <c r="D1061" s="17">
        <v>0.2</v>
      </c>
      <c r="E1061" s="15">
        <f>IFERROR(IF(Raw_Data!N1057="", 0, IF(Raw_Data!N1057&gt;1, Raw_Data!N1057/100, Raw_Data!N1057)), 0)</f>
        <v>0.2</v>
      </c>
      <c r="F1061" s="15">
        <f>IFERROR(VALUE(Raw_Data!O1057), Raw_Data!L1057*Raw_Data!M1057)</f>
        <v>715.05</v>
      </c>
    </row>
    <row r="1062" spans="2:6" x14ac:dyDescent="0.35">
      <c r="B1062" s="13" t="s">
        <v>102</v>
      </c>
      <c r="C1062" s="15" t="str">
        <f t="shared" si="16"/>
        <v>Zara Chaudhry</v>
      </c>
      <c r="D1062" s="17">
        <v>0.3</v>
      </c>
      <c r="E1062" s="15">
        <f>IFERROR(IF(Raw_Data!N1058="", 0, IF(Raw_Data!N1058&gt;1, Raw_Data!N1058/100, Raw_Data!N1058)), 0)</f>
        <v>0.3</v>
      </c>
      <c r="F1062" s="15">
        <f>IFERROR(VALUE(Raw_Data!O1058), Raw_Data!L1058*Raw_Data!M1058)</f>
        <v>4682.34</v>
      </c>
    </row>
    <row r="1063" spans="2:6" x14ac:dyDescent="0.35">
      <c r="B1063" s="13" t="s">
        <v>210</v>
      </c>
      <c r="C1063" s="15" t="str">
        <f t="shared" si="16"/>
        <v>Imran Butt</v>
      </c>
      <c r="D1063" s="17">
        <v>0</v>
      </c>
      <c r="E1063" s="15">
        <f>IFERROR(IF(Raw_Data!N1059="", 0, IF(Raw_Data!N1059&gt;1, Raw_Data!N1059/100, Raw_Data!N1059)), 0)</f>
        <v>0</v>
      </c>
      <c r="F1063" s="15">
        <f>IFERROR(VALUE(Raw_Data!O1059), Raw_Data!L1059*Raw_Data!M1059)</f>
        <v>532.24</v>
      </c>
    </row>
    <row r="1064" spans="2:6" x14ac:dyDescent="0.35">
      <c r="B1064" s="13" t="s">
        <v>114</v>
      </c>
      <c r="C1064" s="15" t="str">
        <f t="shared" si="16"/>
        <v>Imran Malik</v>
      </c>
      <c r="D1064" s="17">
        <v>0</v>
      </c>
      <c r="E1064" s="15">
        <f>IFERROR(IF(Raw_Data!N1060="", 0, IF(Raw_Data!N1060&gt;1, Raw_Data!N1060/100, Raw_Data!N1060)), 0)</f>
        <v>0</v>
      </c>
      <c r="F1064" s="15">
        <f>IFERROR(VALUE(Raw_Data!O1060), Raw_Data!L1060*Raw_Data!M1060)</f>
        <v>1769.4</v>
      </c>
    </row>
    <row r="1065" spans="2:6" x14ac:dyDescent="0.35">
      <c r="B1065" s="13" t="s">
        <v>267</v>
      </c>
      <c r="C1065" s="15" t="str">
        <f t="shared" si="16"/>
        <v>Nida Chaudhry</v>
      </c>
      <c r="D1065" s="17">
        <v>0.1</v>
      </c>
      <c r="E1065" s="15">
        <f>IFERROR(IF(Raw_Data!N1061="", 0, IF(Raw_Data!N1061&gt;1, Raw_Data!N1061/100, Raw_Data!N1061)), 0)</f>
        <v>0.1</v>
      </c>
      <c r="F1065" s="15">
        <f>IFERROR(VALUE(Raw_Data!O1061), Raw_Data!L1061*Raw_Data!M1061)</f>
        <v>1894.65</v>
      </c>
    </row>
    <row r="1066" spans="2:6" x14ac:dyDescent="0.35">
      <c r="B1066" s="13" t="s">
        <v>972</v>
      </c>
      <c r="C1066" s="15" t="str">
        <f t="shared" si="16"/>
        <v>Sana Khan</v>
      </c>
      <c r="D1066" s="17">
        <v>0.15</v>
      </c>
      <c r="E1066" s="15">
        <f>IFERROR(IF(Raw_Data!N1062="", 0, IF(Raw_Data!N1062&gt;1, Raw_Data!N1062/100, Raw_Data!N1062)), 0)</f>
        <v>0.15</v>
      </c>
      <c r="F1066" s="15">
        <f>IFERROR(VALUE(Raw_Data!O1062), Raw_Data!L1062*Raw_Data!M1062)</f>
        <v>4479.97</v>
      </c>
    </row>
    <row r="1067" spans="2:6" x14ac:dyDescent="0.35">
      <c r="B1067" s="13" t="s">
        <v>784</v>
      </c>
      <c r="C1067" s="15" t="str">
        <f t="shared" si="16"/>
        <v>Faisal Chaudhry</v>
      </c>
      <c r="D1067" s="17">
        <v>0</v>
      </c>
      <c r="E1067" s="15">
        <f>IFERROR(IF(Raw_Data!N1063="", 0, IF(Raw_Data!N1063&gt;1, Raw_Data!N1063/100, Raw_Data!N1063)), 0)</f>
        <v>0</v>
      </c>
      <c r="F1067" s="15">
        <f>IFERROR(VALUE(Raw_Data!O1063), Raw_Data!L1063*Raw_Data!M1063)</f>
        <v>6092.4</v>
      </c>
    </row>
    <row r="1068" spans="2:6" x14ac:dyDescent="0.35">
      <c r="B1068" s="13" t="s">
        <v>141</v>
      </c>
      <c r="C1068" s="15" t="str">
        <f t="shared" si="16"/>
        <v>Fatima Ansari</v>
      </c>
      <c r="D1068" s="17">
        <v>0</v>
      </c>
      <c r="E1068" s="15">
        <f>IFERROR(IF(Raw_Data!N1064="", 0, IF(Raw_Data!N1064&gt;1, Raw_Data!N1064/100, Raw_Data!N1064)), 0)</f>
        <v>0</v>
      </c>
      <c r="F1068" s="15">
        <f>IFERROR(VALUE(Raw_Data!O1064), Raw_Data!L1064*Raw_Data!M1064)</f>
        <v>6125.4</v>
      </c>
    </row>
    <row r="1069" spans="2:6" x14ac:dyDescent="0.35">
      <c r="B1069" s="13" t="s">
        <v>503</v>
      </c>
      <c r="C1069" s="15" t="str">
        <f t="shared" si="16"/>
        <v>Nida Raza</v>
      </c>
      <c r="D1069" s="17">
        <v>0.1</v>
      </c>
      <c r="E1069" s="15">
        <f>IFERROR(IF(Raw_Data!N1065="", 0, IF(Raw_Data!N1065&gt;1, Raw_Data!N1065/100, Raw_Data!N1065)), 0)</f>
        <v>0.1</v>
      </c>
      <c r="F1069" s="15">
        <f>IFERROR(VALUE(Raw_Data!O1065), Raw_Data!L1065*Raw_Data!M1065)</f>
        <v>6481.2</v>
      </c>
    </row>
    <row r="1070" spans="2:6" x14ac:dyDescent="0.35">
      <c r="B1070" s="13" t="s">
        <v>255</v>
      </c>
      <c r="C1070" s="15" t="str">
        <f t="shared" si="16"/>
        <v>Tariq Ansari</v>
      </c>
      <c r="D1070" s="17">
        <v>0</v>
      </c>
      <c r="E1070" s="15">
        <f>IFERROR(IF(Raw_Data!N1066="", 0, IF(Raw_Data!N1066&gt;1, Raw_Data!N1066/100, Raw_Data!N1066)), 0)</f>
        <v>0</v>
      </c>
      <c r="F1070" s="15">
        <f>IFERROR(VALUE(Raw_Data!O1066), Raw_Data!L1066*Raw_Data!M1066)</f>
        <v>6407.12</v>
      </c>
    </row>
    <row r="1071" spans="2:6" x14ac:dyDescent="0.35">
      <c r="B1071" s="13" t="s">
        <v>693</v>
      </c>
      <c r="C1071" s="15" t="str">
        <f t="shared" si="16"/>
        <v>Adeel Raza</v>
      </c>
      <c r="D1071" s="17">
        <v>0</v>
      </c>
      <c r="E1071" s="15">
        <f>IFERROR(IF(Raw_Data!N1067="", 0, IF(Raw_Data!N1067&gt;1, Raw_Data!N1067/100, Raw_Data!N1067)), 0)</f>
        <v>0</v>
      </c>
      <c r="F1071" s="15">
        <f>IFERROR(VALUE(Raw_Data!O1067), Raw_Data!L1067*Raw_Data!M1067)</f>
        <v>706.03</v>
      </c>
    </row>
    <row r="1072" spans="2:6" x14ac:dyDescent="0.35">
      <c r="B1072" s="13" t="s">
        <v>363</v>
      </c>
      <c r="C1072" s="15" t="str">
        <f t="shared" si="16"/>
        <v>Bilal Iqbal</v>
      </c>
      <c r="D1072" s="17">
        <v>0</v>
      </c>
      <c r="E1072" s="15">
        <f>IFERROR(IF(Raw_Data!N1068="", 0, IF(Raw_Data!N1068&gt;1, Raw_Data!N1068/100, Raw_Data!N1068)), 0)</f>
        <v>0</v>
      </c>
      <c r="F1072" s="15">
        <f>IFERROR(VALUE(Raw_Data!O1068), Raw_Data!L1068*Raw_Data!M1068)</f>
        <v>4291.7</v>
      </c>
    </row>
    <row r="1073" spans="2:6" x14ac:dyDescent="0.35">
      <c r="B1073" s="13" t="s">
        <v>314</v>
      </c>
      <c r="C1073" s="15" t="str">
        <f t="shared" si="16"/>
        <v>Sara Butt</v>
      </c>
      <c r="D1073" s="17">
        <v>0</v>
      </c>
      <c r="E1073" s="15">
        <f>IFERROR(IF(Raw_Data!N1069="", 0, IF(Raw_Data!N1069&gt;1, Raw_Data!N1069/100, Raw_Data!N1069)), 0)</f>
        <v>0</v>
      </c>
      <c r="F1073" s="15">
        <f>IFERROR(VALUE(Raw_Data!O1069), Raw_Data!L1069*Raw_Data!M1069)</f>
        <v>1763.93</v>
      </c>
    </row>
    <row r="1074" spans="2:6" x14ac:dyDescent="0.35">
      <c r="B1074" s="13" t="s">
        <v>331</v>
      </c>
      <c r="C1074" s="15" t="str">
        <f t="shared" si="16"/>
        <v>Faisal Ansari</v>
      </c>
      <c r="D1074" s="17">
        <v>0.1</v>
      </c>
      <c r="E1074" s="15">
        <f>IFERROR(IF(Raw_Data!N1070="", 0, IF(Raw_Data!N1070&gt;1, Raw_Data!N1070/100, Raw_Data!N1070)), 0)</f>
        <v>0.1</v>
      </c>
      <c r="F1074" s="15">
        <f>IFERROR(VALUE(Raw_Data!O1070), Raw_Data!L1070*Raw_Data!M1070)</f>
        <v>2864.84</v>
      </c>
    </row>
    <row r="1075" spans="2:6" x14ac:dyDescent="0.35">
      <c r="B1075" s="13" t="s">
        <v>492</v>
      </c>
      <c r="C1075" s="15" t="str">
        <f t="shared" si="16"/>
        <v>Sara Sheikh</v>
      </c>
      <c r="D1075" s="17">
        <v>0.15</v>
      </c>
      <c r="E1075" s="15">
        <f>IFERROR(IF(Raw_Data!N1071="", 0, IF(Raw_Data!N1071&gt;1, Raw_Data!N1071/100, Raw_Data!N1071)), 0)</f>
        <v>0.15</v>
      </c>
      <c r="F1075" s="15">
        <f>IFERROR(VALUE(Raw_Data!O1071), Raw_Data!L1071*Raw_Data!M1071)</f>
        <v>4837.32</v>
      </c>
    </row>
    <row r="1076" spans="2:6" x14ac:dyDescent="0.35">
      <c r="B1076" s="13" t="s">
        <v>465</v>
      </c>
      <c r="C1076" s="15" t="str">
        <f t="shared" si="16"/>
        <v>Ali Ansari</v>
      </c>
      <c r="D1076" s="17">
        <v>0.2</v>
      </c>
      <c r="E1076" s="15">
        <f>IFERROR(IF(Raw_Data!N1072="", 0, IF(Raw_Data!N1072&gt;1, Raw_Data!N1072/100, Raw_Data!N1072)), 0)</f>
        <v>0.2</v>
      </c>
      <c r="F1076" s="15">
        <f>IFERROR(VALUE(Raw_Data!O1072), Raw_Data!L1072*Raw_Data!M1072)</f>
        <v>5256.48</v>
      </c>
    </row>
    <row r="1077" spans="2:6" x14ac:dyDescent="0.35">
      <c r="B1077" s="13" t="s">
        <v>299</v>
      </c>
      <c r="C1077" s="15" t="str">
        <f t="shared" si="16"/>
        <v>Adeel Farooq</v>
      </c>
      <c r="D1077" s="17">
        <v>0.1</v>
      </c>
      <c r="E1077" s="15">
        <f>IFERROR(IF(Raw_Data!N1073="", 0, IF(Raw_Data!N1073&gt;1, Raw_Data!N1073/100, Raw_Data!N1073)), 0)</f>
        <v>0.1</v>
      </c>
      <c r="F1077" s="15">
        <f>IFERROR(VALUE(Raw_Data!O1073), Raw_Data!L1073*Raw_Data!M1073)</f>
        <v>208.44</v>
      </c>
    </row>
    <row r="1078" spans="2:6" x14ac:dyDescent="0.35">
      <c r="B1078" s="13" t="s">
        <v>1185</v>
      </c>
      <c r="C1078" s="15" t="str">
        <f t="shared" si="16"/>
        <v>Mahnoor Sheikh</v>
      </c>
      <c r="D1078" s="17">
        <v>0</v>
      </c>
      <c r="E1078" s="15">
        <f>IFERROR(IF(Raw_Data!N1074="", 0, IF(Raw_Data!N1074&gt;1, Raw_Data!N1074/100, Raw_Data!N1074)), 0)</f>
        <v>0</v>
      </c>
      <c r="F1078" s="15">
        <f>IFERROR(VALUE(Raw_Data!O1074), Raw_Data!L1074*Raw_Data!M1074)</f>
        <v>6427.08</v>
      </c>
    </row>
    <row r="1079" spans="2:6" x14ac:dyDescent="0.35">
      <c r="B1079" s="13" t="s">
        <v>291</v>
      </c>
      <c r="C1079" s="15" t="str">
        <f t="shared" si="16"/>
        <v>Nida Farooq</v>
      </c>
      <c r="D1079" s="17">
        <v>0.3</v>
      </c>
      <c r="E1079" s="15">
        <f>IFERROR(IF(Raw_Data!N1075="", 0, IF(Raw_Data!N1075&gt;1, Raw_Data!N1075/100, Raw_Data!N1075)), 0)</f>
        <v>0.3</v>
      </c>
      <c r="F1079" s="15">
        <f>IFERROR(VALUE(Raw_Data!O1075), Raw_Data!L1075*Raw_Data!M1075)</f>
        <v>2529.7800000000002</v>
      </c>
    </row>
    <row r="1080" spans="2:6" x14ac:dyDescent="0.35">
      <c r="B1080" s="13" t="s">
        <v>386</v>
      </c>
      <c r="C1080" s="15" t="str">
        <f t="shared" si="16"/>
        <v>Tariq Farooq</v>
      </c>
      <c r="D1080" s="17">
        <v>0.2</v>
      </c>
      <c r="E1080" s="15">
        <f>IFERROR(IF(Raw_Data!N1076="", 0, IF(Raw_Data!N1076&gt;1, Raw_Data!N1076/100, Raw_Data!N1076)), 0)</f>
        <v>0.2</v>
      </c>
      <c r="F1080" s="15">
        <f>IFERROR(VALUE(Raw_Data!O1076), Raw_Data!L1076*Raw_Data!M1076)</f>
        <v>1454.22</v>
      </c>
    </row>
    <row r="1081" spans="2:6" x14ac:dyDescent="0.35">
      <c r="B1081" s="13" t="s">
        <v>267</v>
      </c>
      <c r="C1081" s="15" t="str">
        <f t="shared" si="16"/>
        <v>Nida Chaudhry</v>
      </c>
      <c r="D1081" s="17">
        <v>0.2</v>
      </c>
      <c r="E1081" s="15">
        <f>IFERROR(IF(Raw_Data!N1077="", 0, IF(Raw_Data!N1077&gt;1, Raw_Data!N1077/100, Raw_Data!N1077)), 0)</f>
        <v>0.2</v>
      </c>
      <c r="F1081" s="15">
        <f>IFERROR(VALUE(Raw_Data!O1077), Raw_Data!L1077*Raw_Data!M1077)</f>
        <v>7463.94</v>
      </c>
    </row>
    <row r="1082" spans="2:6" x14ac:dyDescent="0.35">
      <c r="B1082" s="13" t="s">
        <v>389</v>
      </c>
      <c r="C1082" s="15" t="str">
        <f t="shared" si="16"/>
        <v>Ahmed Khan</v>
      </c>
      <c r="D1082" s="17">
        <v>0.15</v>
      </c>
      <c r="E1082" s="15">
        <f>IFERROR(IF(Raw_Data!N1078="", 0, IF(Raw_Data!N1078&gt;1, Raw_Data!N1078/100, Raw_Data!N1078)), 0)</f>
        <v>0.15</v>
      </c>
      <c r="F1082" s="15">
        <f>IFERROR(VALUE(Raw_Data!O1078), Raw_Data!L1078*Raw_Data!M1078)</f>
        <v>8976.9599999999991</v>
      </c>
    </row>
    <row r="1083" spans="2:6" x14ac:dyDescent="0.35">
      <c r="B1083" s="13" t="s">
        <v>114</v>
      </c>
      <c r="C1083" s="15" t="str">
        <f t="shared" si="16"/>
        <v>Imran Malik</v>
      </c>
      <c r="D1083" s="17">
        <v>0</v>
      </c>
      <c r="E1083" s="15">
        <f>IFERROR(IF(Raw_Data!N1079="", 0, IF(Raw_Data!N1079&gt;1, Raw_Data!N1079/100, Raw_Data!N1079)), 0)</f>
        <v>0</v>
      </c>
      <c r="F1083" s="15">
        <f>IFERROR(VALUE(Raw_Data!O1079), Raw_Data!L1079*Raw_Data!M1079)</f>
        <v>4841</v>
      </c>
    </row>
    <row r="1084" spans="2:6" x14ac:dyDescent="0.35">
      <c r="B1084" s="13" t="s">
        <v>114</v>
      </c>
      <c r="C1084" s="15" t="str">
        <f t="shared" si="16"/>
        <v>Imran Malik</v>
      </c>
      <c r="D1084" s="17">
        <v>0</v>
      </c>
      <c r="E1084" s="15">
        <f>IFERROR(IF(Raw_Data!N1080="", 0, IF(Raw_Data!N1080&gt;1, Raw_Data!N1080/100, Raw_Data!N1080)), 0)</f>
        <v>0</v>
      </c>
      <c r="F1084" s="15">
        <f>IFERROR(VALUE(Raw_Data!O1080), Raw_Data!L1080*Raw_Data!M1080)</f>
        <v>206.56</v>
      </c>
    </row>
    <row r="1085" spans="2:6" x14ac:dyDescent="0.35">
      <c r="B1085" s="13" t="s">
        <v>141</v>
      </c>
      <c r="C1085" s="15" t="str">
        <f t="shared" si="16"/>
        <v>Fatima Ansari</v>
      </c>
      <c r="D1085" s="17">
        <v>0.3</v>
      </c>
      <c r="E1085" s="15">
        <f>IFERROR(IF(Raw_Data!N1081="", 0, IF(Raw_Data!N1081&gt;1, Raw_Data!N1081/100, Raw_Data!N1081)), 0)</f>
        <v>0.3</v>
      </c>
      <c r="F1085" s="15">
        <f>IFERROR(VALUE(Raw_Data!O1081), Raw_Data!L1081*Raw_Data!M1081)</f>
        <v>1005.95</v>
      </c>
    </row>
    <row r="1086" spans="2:6" x14ac:dyDescent="0.35">
      <c r="B1086" s="13" t="s">
        <v>589</v>
      </c>
      <c r="C1086" s="15" t="str">
        <f t="shared" si="16"/>
        <v>Mahnoor Raza</v>
      </c>
      <c r="D1086" s="17">
        <v>0.2</v>
      </c>
      <c r="E1086" s="15">
        <f>IFERROR(IF(Raw_Data!N1082="", 0, IF(Raw_Data!N1082&gt;1, Raw_Data!N1082/100, Raw_Data!N1082)), 0)</f>
        <v>0.2</v>
      </c>
      <c r="F1086" s="15">
        <f>IFERROR(VALUE(Raw_Data!O1082), Raw_Data!L1082*Raw_Data!M1082)</f>
        <v>5401.4</v>
      </c>
    </row>
    <row r="1087" spans="2:6" x14ac:dyDescent="0.35">
      <c r="B1087" s="13" t="s">
        <v>419</v>
      </c>
      <c r="C1087" s="15" t="str">
        <f t="shared" si="16"/>
        <v>Nida Butt</v>
      </c>
      <c r="D1087" s="17">
        <v>0.3</v>
      </c>
      <c r="E1087" s="15">
        <f>IFERROR(IF(Raw_Data!N1083="", 0, IF(Raw_Data!N1083&gt;1, Raw_Data!N1083/100, Raw_Data!N1083)), 0)</f>
        <v>0.3</v>
      </c>
      <c r="F1087" s="15">
        <f>IFERROR(VALUE(Raw_Data!O1083), Raw_Data!L1083*Raw_Data!M1083)</f>
        <v>420.07</v>
      </c>
    </row>
    <row r="1088" spans="2:6" x14ac:dyDescent="0.35">
      <c r="B1088" s="13" t="s">
        <v>1367</v>
      </c>
      <c r="C1088" s="15" t="str">
        <f t="shared" si="16"/>
        <v>Faisal Raza</v>
      </c>
      <c r="D1088" s="17">
        <v>0</v>
      </c>
      <c r="E1088" s="15">
        <f>IFERROR(IF(Raw_Data!N1084="", 0, IF(Raw_Data!N1084&gt;1, Raw_Data!N1084/100, Raw_Data!N1084)), 0)</f>
        <v>0</v>
      </c>
      <c r="F1088" s="15">
        <f>IFERROR(VALUE(Raw_Data!O1084), Raw_Data!L1084*Raw_Data!M1084)</f>
        <v>2370.7600000000002</v>
      </c>
    </row>
    <row r="1089" spans="2:6" x14ac:dyDescent="0.35">
      <c r="B1089" s="13" t="s">
        <v>231</v>
      </c>
      <c r="C1089" s="15" t="str">
        <f t="shared" si="16"/>
        <v>Fatima Malik</v>
      </c>
      <c r="D1089" s="17">
        <v>0.1</v>
      </c>
      <c r="E1089" s="15">
        <f>IFERROR(IF(Raw_Data!N1085="", 0, IF(Raw_Data!N1085&gt;1, Raw_Data!N1085/100, Raw_Data!N1085)), 0)</f>
        <v>0.1</v>
      </c>
      <c r="F1089" s="15">
        <f>IFERROR(VALUE(Raw_Data!O1085), Raw_Data!L1085*Raw_Data!M1085)</f>
        <v>1046.82</v>
      </c>
    </row>
    <row r="1090" spans="2:6" x14ac:dyDescent="0.35">
      <c r="B1090" s="13" t="s">
        <v>221</v>
      </c>
      <c r="C1090" s="15" t="str">
        <f t="shared" si="16"/>
        <v>Bilal Chaudhry</v>
      </c>
      <c r="D1090" s="17">
        <v>0.3</v>
      </c>
      <c r="E1090" s="15">
        <f>IFERROR(IF(Raw_Data!N1086="", 0, IF(Raw_Data!N1086&gt;1, Raw_Data!N1086/100, Raw_Data!N1086)), 0)</f>
        <v>0.3</v>
      </c>
      <c r="F1090" s="15">
        <f>IFERROR(VALUE(Raw_Data!O1086), Raw_Data!L1086*Raw_Data!M1086)</f>
        <v>8741.64</v>
      </c>
    </row>
    <row r="1091" spans="2:6" x14ac:dyDescent="0.35">
      <c r="B1091" s="13" t="s">
        <v>363</v>
      </c>
      <c r="C1091" s="15" t="str">
        <f t="shared" si="16"/>
        <v>Bilal Iqbal</v>
      </c>
      <c r="D1091" s="17">
        <v>0.3</v>
      </c>
      <c r="E1091" s="15">
        <f>IFERROR(IF(Raw_Data!N1087="", 0, IF(Raw_Data!N1087&gt;1, Raw_Data!N1087/100, Raw_Data!N1087)), 0)</f>
        <v>0.3</v>
      </c>
      <c r="F1091" s="15">
        <f>IFERROR(VALUE(Raw_Data!O1087), Raw_Data!L1087*Raw_Data!M1087)</f>
        <v>2546.2800000000002</v>
      </c>
    </row>
    <row r="1092" spans="2:6" x14ac:dyDescent="0.35">
      <c r="B1092" s="13" t="s">
        <v>241</v>
      </c>
      <c r="C1092" s="15" t="str">
        <f t="shared" si="16"/>
        <v>Usman Sheikh</v>
      </c>
      <c r="D1092" s="17">
        <v>0</v>
      </c>
      <c r="E1092" s="15">
        <f>IFERROR(IF(Raw_Data!N1088="", 0, IF(Raw_Data!N1088&gt;1, Raw_Data!N1088/100, Raw_Data!N1088)), 0)</f>
        <v>0</v>
      </c>
      <c r="F1092" s="15">
        <f>IFERROR(VALUE(Raw_Data!O1088), Raw_Data!L1088*Raw_Data!M1088)</f>
        <v>85.03</v>
      </c>
    </row>
    <row r="1093" spans="2:6" x14ac:dyDescent="0.35">
      <c r="B1093" s="13" t="s">
        <v>408</v>
      </c>
      <c r="C1093" s="15" t="str">
        <f t="shared" si="16"/>
        <v>Sara Iqbal</v>
      </c>
      <c r="D1093" s="17">
        <v>0</v>
      </c>
      <c r="E1093" s="15">
        <f>IFERROR(IF(Raw_Data!N1089="", 0, IF(Raw_Data!N1089&gt;1, Raw_Data!N1089/100, Raw_Data!N1089)), 0)</f>
        <v>0</v>
      </c>
      <c r="F1093" s="15">
        <f>IFERROR(VALUE(Raw_Data!O1089), Raw_Data!L1089*Raw_Data!M1089)</f>
        <v>1380.72</v>
      </c>
    </row>
    <row r="1094" spans="2:6" x14ac:dyDescent="0.35">
      <c r="B1094" s="13" t="s">
        <v>455</v>
      </c>
      <c r="C1094" s="15" t="str">
        <f t="shared" si="16"/>
        <v>Ali Sheikh</v>
      </c>
      <c r="D1094" s="17">
        <v>0</v>
      </c>
      <c r="E1094" s="15">
        <f>IFERROR(IF(Raw_Data!N1090="", 0, IF(Raw_Data!N1090&gt;1, Raw_Data!N1090/100, Raw_Data!N1090)), 0)</f>
        <v>0</v>
      </c>
      <c r="F1094" s="15">
        <f>IFERROR(VALUE(Raw_Data!O1090), Raw_Data!L1090*Raw_Data!M1090)</f>
        <v>1665.08</v>
      </c>
    </row>
    <row r="1095" spans="2:6" x14ac:dyDescent="0.35">
      <c r="B1095" s="13" t="s">
        <v>570</v>
      </c>
      <c r="C1095" s="15" t="str">
        <f t="shared" ref="C1095:C1158" si="17">IF(OR(B1095="",B1095=0), "Unknown Customer", PROPER(TRIM(B1095)))</f>
        <v>Tariq Raza</v>
      </c>
      <c r="D1095" s="17">
        <v>0</v>
      </c>
      <c r="E1095" s="15">
        <f>IFERROR(IF(Raw_Data!N1091="", 0, IF(Raw_Data!N1091&gt;1, Raw_Data!N1091/100, Raw_Data!N1091)), 0)</f>
        <v>0</v>
      </c>
      <c r="F1095" s="15">
        <f>IFERROR(VALUE(Raw_Data!O1091), Raw_Data!L1091*Raw_Data!M1091)</f>
        <v>596.16</v>
      </c>
    </row>
    <row r="1096" spans="2:6" x14ac:dyDescent="0.35">
      <c r="B1096" s="13" t="s">
        <v>243</v>
      </c>
      <c r="C1096" s="15" t="str">
        <f t="shared" si="17"/>
        <v>Zara Khan</v>
      </c>
      <c r="D1096" s="17">
        <v>0</v>
      </c>
      <c r="E1096" s="15">
        <f>IFERROR(IF(Raw_Data!N1092="", 0, IF(Raw_Data!N1092&gt;1, Raw_Data!N1092/100, Raw_Data!N1092)), 0)</f>
        <v>0</v>
      </c>
      <c r="F1096" s="15">
        <f>IFERROR(VALUE(Raw_Data!O1092), Raw_Data!L1092*Raw_Data!M1092)</f>
        <v>1889.49</v>
      </c>
    </row>
    <row r="1097" spans="2:6" x14ac:dyDescent="0.35">
      <c r="B1097" s="13" t="s">
        <v>625</v>
      </c>
      <c r="C1097" s="15" t="str">
        <f t="shared" si="17"/>
        <v>Hassan Malik</v>
      </c>
      <c r="D1097" s="17">
        <v>0.1</v>
      </c>
      <c r="E1097" s="15">
        <f>IFERROR(IF(Raw_Data!N1093="", 0, IF(Raw_Data!N1093&gt;1, Raw_Data!N1093/100, Raw_Data!N1093)), 0)</f>
        <v>0.1</v>
      </c>
      <c r="F1097" s="15">
        <f>IFERROR(VALUE(Raw_Data!O1093), Raw_Data!L1093*Raw_Data!M1093)</f>
        <v>5743.85</v>
      </c>
    </row>
    <row r="1098" spans="2:6" x14ac:dyDescent="0.35">
      <c r="B1098" s="13" t="s">
        <v>368</v>
      </c>
      <c r="C1098" s="15" t="str">
        <f t="shared" si="17"/>
        <v>Hassan Khan</v>
      </c>
      <c r="D1098" s="17">
        <v>0</v>
      </c>
      <c r="E1098" s="15">
        <f>IFERROR(IF(Raw_Data!N1094="", 0, IF(Raw_Data!N1094&gt;1, Raw_Data!N1094/100, Raw_Data!N1094)), 0)</f>
        <v>0</v>
      </c>
      <c r="F1098" s="15">
        <f>IFERROR(VALUE(Raw_Data!O1094), Raw_Data!L1094*Raw_Data!M1094)</f>
        <v>4043.16</v>
      </c>
    </row>
    <row r="1099" spans="2:6" x14ac:dyDescent="0.35">
      <c r="B1099" s="13" t="s">
        <v>408</v>
      </c>
      <c r="C1099" s="15" t="str">
        <f t="shared" si="17"/>
        <v>Sara Iqbal</v>
      </c>
      <c r="D1099" s="17">
        <v>0.2</v>
      </c>
      <c r="E1099" s="15">
        <f>IFERROR(IF(Raw_Data!N1095="", 0, IF(Raw_Data!N1095&gt;1, Raw_Data!N1095/100, Raw_Data!N1095)), 0)</f>
        <v>0.2</v>
      </c>
      <c r="F1099" s="15">
        <f>IFERROR(VALUE(Raw_Data!O1095), Raw_Data!L1095*Raw_Data!M1095)</f>
        <v>3015.32</v>
      </c>
    </row>
    <row r="1100" spans="2:6" x14ac:dyDescent="0.35">
      <c r="B1100" s="13" t="s">
        <v>901</v>
      </c>
      <c r="C1100" s="15" t="str">
        <f t="shared" si="17"/>
        <v>Hina Chaudhry</v>
      </c>
      <c r="D1100" s="17">
        <v>0</v>
      </c>
      <c r="E1100" s="15">
        <f>IFERROR(IF(Raw_Data!N1096="", 0, IF(Raw_Data!N1096&gt;1, Raw_Data!N1096/100, Raw_Data!N1096)), 0)</f>
        <v>0</v>
      </c>
      <c r="F1100" s="15">
        <f>IFERROR(VALUE(Raw_Data!O1096), Raw_Data!L1096*Raw_Data!M1096)</f>
        <v>762.72</v>
      </c>
    </row>
    <row r="1101" spans="2:6" x14ac:dyDescent="0.35">
      <c r="B1101" s="13" t="s">
        <v>1419</v>
      </c>
      <c r="C1101" s="15" t="str">
        <f t="shared" si="17"/>
        <v>Ali Sheikh</v>
      </c>
      <c r="D1101" s="17">
        <v>0</v>
      </c>
      <c r="E1101" s="15">
        <f>IFERROR(IF(Raw_Data!N1097="", 0, IF(Raw_Data!N1097&gt;1, Raw_Data!N1097/100, Raw_Data!N1097)), 0)</f>
        <v>0</v>
      </c>
      <c r="F1101" s="15">
        <f>IFERROR(VALUE(Raw_Data!O1097), Raw_Data!L1097*Raw_Data!M1097)</f>
        <v>1933.84</v>
      </c>
    </row>
    <row r="1102" spans="2:6" x14ac:dyDescent="0.35">
      <c r="B1102" s="13" t="s">
        <v>283</v>
      </c>
      <c r="C1102" s="15" t="str">
        <f t="shared" si="17"/>
        <v>Bilal Khan</v>
      </c>
      <c r="D1102" s="17">
        <v>0.2</v>
      </c>
      <c r="E1102" s="15">
        <f>IFERROR(IF(Raw_Data!N1098="", 0, IF(Raw_Data!N1098&gt;1, Raw_Data!N1098/100, Raw_Data!N1098)), 0)</f>
        <v>0.2</v>
      </c>
      <c r="F1102" s="15">
        <f>IFERROR(VALUE(Raw_Data!O1098), Raw_Data!L1098*Raw_Data!M1098)</f>
        <v>395.43</v>
      </c>
    </row>
    <row r="1103" spans="2:6" x14ac:dyDescent="0.35">
      <c r="B1103" s="13" t="s">
        <v>901</v>
      </c>
      <c r="C1103" s="15" t="str">
        <f t="shared" si="17"/>
        <v>Hina Chaudhry</v>
      </c>
      <c r="D1103" s="17">
        <v>0</v>
      </c>
      <c r="E1103" s="15">
        <f>IFERROR(IF(Raw_Data!N1099="", 0, IF(Raw_Data!N1099&gt;1, Raw_Data!N1099/100, Raw_Data!N1099)), 0)</f>
        <v>0</v>
      </c>
      <c r="F1103" s="15">
        <f>IFERROR(VALUE(Raw_Data!O1099), Raw_Data!L1099*Raw_Data!M1099)</f>
        <v>405.68</v>
      </c>
    </row>
    <row r="1104" spans="2:6" x14ac:dyDescent="0.35">
      <c r="B1104" s="13" t="s">
        <v>737</v>
      </c>
      <c r="C1104" s="15" t="str">
        <f t="shared" si="17"/>
        <v>Hassan Ansari</v>
      </c>
      <c r="D1104" s="17">
        <v>0</v>
      </c>
      <c r="E1104" s="15">
        <f>IFERROR(IF(Raw_Data!N1100="", 0, IF(Raw_Data!N1100&gt;1, Raw_Data!N1100/100, Raw_Data!N1100)), 0)</f>
        <v>0</v>
      </c>
      <c r="F1104" s="15">
        <f>IFERROR(VALUE(Raw_Data!O1100), Raw_Data!L1100*Raw_Data!M1100)</f>
        <v>424.94</v>
      </c>
    </row>
    <row r="1105" spans="2:6" x14ac:dyDescent="0.35">
      <c r="B1105" s="13" t="s">
        <v>126</v>
      </c>
      <c r="C1105" s="15" t="str">
        <f t="shared" si="17"/>
        <v>Ahmed Chaudhry</v>
      </c>
      <c r="D1105" s="17">
        <v>0</v>
      </c>
      <c r="E1105" s="15">
        <f>IFERROR(IF(Raw_Data!N1101="", 0, IF(Raw_Data!N1101&gt;1, Raw_Data!N1101/100, Raw_Data!N1101)), 0)</f>
        <v>0</v>
      </c>
      <c r="F1105" s="15">
        <f>IFERROR(VALUE(Raw_Data!O1101), Raw_Data!L1101*Raw_Data!M1101)</f>
        <v>6038.37</v>
      </c>
    </row>
    <row r="1106" spans="2:6" x14ac:dyDescent="0.35">
      <c r="B1106" s="13" t="s">
        <v>558</v>
      </c>
      <c r="C1106" s="15" t="str">
        <f t="shared" si="17"/>
        <v>Imran Qureshi</v>
      </c>
      <c r="D1106" s="17">
        <v>0</v>
      </c>
      <c r="E1106" s="15">
        <f>IFERROR(IF(Raw_Data!N1102="", 0, IF(Raw_Data!N1102&gt;1, Raw_Data!N1102/100, Raw_Data!N1102)), 0)</f>
        <v>0</v>
      </c>
      <c r="F1106" s="15">
        <f>IFERROR(VALUE(Raw_Data!O1102), Raw_Data!L1102*Raw_Data!M1102)</f>
        <v>3540.1</v>
      </c>
    </row>
    <row r="1107" spans="2:6" x14ac:dyDescent="0.35">
      <c r="B1107" s="13" t="s">
        <v>163</v>
      </c>
      <c r="C1107" s="15" t="str">
        <f t="shared" si="17"/>
        <v>Bilal Butt</v>
      </c>
      <c r="D1107" s="17">
        <v>0.15</v>
      </c>
      <c r="E1107" s="15">
        <f>IFERROR(IF(Raw_Data!N1103="", 0, IF(Raw_Data!N1103&gt;1, Raw_Data!N1103/100, Raw_Data!N1103)), 0)</f>
        <v>0.15</v>
      </c>
      <c r="F1107" s="15">
        <f>IFERROR(VALUE(Raw_Data!O1103), Raw_Data!L1103*Raw_Data!M1103)</f>
        <v>537.20000000000005</v>
      </c>
    </row>
    <row r="1108" spans="2:6" x14ac:dyDescent="0.35">
      <c r="B1108" s="13" t="s">
        <v>637</v>
      </c>
      <c r="C1108" s="15" t="str">
        <f t="shared" si="17"/>
        <v>Ayesha Iqbal</v>
      </c>
      <c r="D1108" s="17">
        <v>0</v>
      </c>
      <c r="E1108" s="15">
        <f>IFERROR(IF(Raw_Data!N1104="", 0, IF(Raw_Data!N1104&gt;1, Raw_Data!N1104/100, Raw_Data!N1104)), 0)</f>
        <v>0</v>
      </c>
      <c r="F1108" s="15">
        <f>IFERROR(VALUE(Raw_Data!O1104), Raw_Data!L1104*Raw_Data!M1104)</f>
        <v>4512.24</v>
      </c>
    </row>
    <row r="1109" spans="2:6" x14ac:dyDescent="0.35">
      <c r="B1109" s="13" t="s">
        <v>285</v>
      </c>
      <c r="C1109" s="15" t="str">
        <f t="shared" si="17"/>
        <v>Adeel Chaudhry</v>
      </c>
      <c r="D1109" s="17">
        <v>0</v>
      </c>
      <c r="E1109" s="15">
        <f>IFERROR(IF(Raw_Data!N1105="", 0, IF(Raw_Data!N1105&gt;1, Raw_Data!N1105/100, Raw_Data!N1105)), 0)</f>
        <v>0</v>
      </c>
      <c r="F1109" s="15">
        <f>IFERROR(VALUE(Raw_Data!O1105), Raw_Data!L1105*Raw_Data!M1105)</f>
        <v>126.81</v>
      </c>
    </row>
    <row r="1110" spans="2:6" x14ac:dyDescent="0.35">
      <c r="B1110" s="13" t="s">
        <v>901</v>
      </c>
      <c r="C1110" s="15" t="str">
        <f t="shared" si="17"/>
        <v>Hina Chaudhry</v>
      </c>
      <c r="D1110" s="17">
        <v>0.2</v>
      </c>
      <c r="E1110" s="15">
        <f>IFERROR(IF(Raw_Data!N1106="", 0, IF(Raw_Data!N1106&gt;1, Raw_Data!N1106/100, Raw_Data!N1106)), 0)</f>
        <v>0.2</v>
      </c>
      <c r="F1110" s="15">
        <f>IFERROR(VALUE(Raw_Data!O1106), Raw_Data!L1106*Raw_Data!M1106)</f>
        <v>2956.03</v>
      </c>
    </row>
    <row r="1111" spans="2:6" x14ac:dyDescent="0.35">
      <c r="B1111" s="13" t="s">
        <v>314</v>
      </c>
      <c r="C1111" s="15" t="str">
        <f t="shared" si="17"/>
        <v>Sara Butt</v>
      </c>
      <c r="D1111" s="17">
        <v>0</v>
      </c>
      <c r="E1111" s="15">
        <f>IFERROR(IF(Raw_Data!N1107="", 0, IF(Raw_Data!N1107&gt;1, Raw_Data!N1107/100, Raw_Data!N1107)), 0)</f>
        <v>0</v>
      </c>
      <c r="F1111" s="15">
        <f>IFERROR(VALUE(Raw_Data!O1107), Raw_Data!L1107*Raw_Data!M1107)</f>
        <v>1295.68</v>
      </c>
    </row>
    <row r="1112" spans="2:6" x14ac:dyDescent="0.35">
      <c r="B1112" s="13" t="s">
        <v>221</v>
      </c>
      <c r="C1112" s="15" t="str">
        <f t="shared" si="17"/>
        <v>Bilal Chaudhry</v>
      </c>
      <c r="D1112" s="17">
        <v>0</v>
      </c>
      <c r="E1112" s="15">
        <f>IFERROR(IF(Raw_Data!N1108="", 0, IF(Raw_Data!N1108&gt;1, Raw_Data!N1108/100, Raw_Data!N1108)), 0)</f>
        <v>0</v>
      </c>
      <c r="F1112" s="15">
        <f>IFERROR(VALUE(Raw_Data!O1108), Raw_Data!L1108*Raw_Data!M1108)</f>
        <v>2180.0500000000002</v>
      </c>
    </row>
    <row r="1113" spans="2:6" x14ac:dyDescent="0.35">
      <c r="B1113" s="13" t="s">
        <v>450</v>
      </c>
      <c r="C1113" s="15" t="str">
        <f t="shared" si="17"/>
        <v>Bilal Ansari</v>
      </c>
      <c r="D1113" s="17">
        <v>0.2</v>
      </c>
      <c r="E1113" s="15">
        <f>IFERROR(IF(Raw_Data!N1109="", 0, IF(Raw_Data!N1109&gt;1, Raw_Data!N1109/100, Raw_Data!N1109)), 0)</f>
        <v>0.2</v>
      </c>
      <c r="F1113" s="15">
        <f>IFERROR(VALUE(Raw_Data!O1109), Raw_Data!L1109*Raw_Data!M1109)</f>
        <v>7074.5</v>
      </c>
    </row>
    <row r="1114" spans="2:6" x14ac:dyDescent="0.35">
      <c r="B1114" s="13" t="s">
        <v>213</v>
      </c>
      <c r="C1114" s="15" t="str">
        <f t="shared" si="17"/>
        <v>Hina Iqbal</v>
      </c>
      <c r="D1114" s="17">
        <v>0</v>
      </c>
      <c r="E1114" s="15">
        <f>IFERROR(IF(Raw_Data!N1110="", 0, IF(Raw_Data!N1110&gt;1, Raw_Data!N1110/100, Raw_Data!N1110)), 0)</f>
        <v>0</v>
      </c>
      <c r="F1114" s="15">
        <f>IFERROR(VALUE(Raw_Data!O1110), Raw_Data!L1110*Raw_Data!M1110)</f>
        <v>700.72</v>
      </c>
    </row>
    <row r="1115" spans="2:6" x14ac:dyDescent="0.35">
      <c r="B1115" s="13" t="s">
        <v>395</v>
      </c>
      <c r="C1115" s="15" t="str">
        <f t="shared" si="17"/>
        <v>Usman Farooq</v>
      </c>
      <c r="D1115" s="17">
        <v>0</v>
      </c>
      <c r="E1115" s="15">
        <f>IFERROR(IF(Raw_Data!N1111="", 0, IF(Raw_Data!N1111&gt;1, Raw_Data!N1111/100, Raw_Data!N1111)), 0)</f>
        <v>0</v>
      </c>
      <c r="F1115" s="15">
        <f>IFERROR(VALUE(Raw_Data!O1111), Raw_Data!L1111*Raw_Data!M1111)</f>
        <v>1532.5</v>
      </c>
    </row>
    <row r="1116" spans="2:6" x14ac:dyDescent="0.35">
      <c r="B1116" s="13" t="s">
        <v>149</v>
      </c>
      <c r="C1116" s="15" t="str">
        <f t="shared" si="17"/>
        <v>Usman Butt</v>
      </c>
      <c r="D1116" s="17">
        <v>0</v>
      </c>
      <c r="E1116" s="15">
        <f>IFERROR(IF(Raw_Data!N1112="", 0, IF(Raw_Data!N1112&gt;1, Raw_Data!N1112/100, Raw_Data!N1112)), 0)</f>
        <v>0</v>
      </c>
      <c r="F1116" s="15">
        <f>IFERROR(VALUE(Raw_Data!O1112), Raw_Data!L1112*Raw_Data!M1112)</f>
        <v>2876</v>
      </c>
    </row>
    <row r="1117" spans="2:6" x14ac:dyDescent="0.35">
      <c r="B1117" s="13" t="s">
        <v>197</v>
      </c>
      <c r="C1117" s="15" t="str">
        <f t="shared" si="17"/>
        <v>Imran Chaudhry</v>
      </c>
      <c r="D1117" s="17">
        <v>0</v>
      </c>
      <c r="E1117" s="15">
        <f>IFERROR(IF(Raw_Data!N1113="", 0, IF(Raw_Data!N1113&gt;1, Raw_Data!N1113/100, Raw_Data!N1113)), 0)</f>
        <v>0</v>
      </c>
      <c r="F1117" s="15">
        <f>IFERROR(VALUE(Raw_Data!O1113), Raw_Data!L1113*Raw_Data!M1113)</f>
        <v>3119</v>
      </c>
    </row>
    <row r="1118" spans="2:6" x14ac:dyDescent="0.35">
      <c r="B1118" s="13" t="s">
        <v>807</v>
      </c>
      <c r="C1118" s="15" t="str">
        <f t="shared" si="17"/>
        <v>Bilal Farooq</v>
      </c>
      <c r="D1118" s="17">
        <v>0.15</v>
      </c>
      <c r="E1118" s="15">
        <f>IFERROR(IF(Raw_Data!N1114="", 0, IF(Raw_Data!N1114&gt;1, Raw_Data!N1114/100, Raw_Data!N1114)), 0)</f>
        <v>0.15</v>
      </c>
      <c r="F1118" s="15">
        <f>IFERROR(VALUE(Raw_Data!O1114), Raw_Data!L1114*Raw_Data!M1114)</f>
        <v>2940.8</v>
      </c>
    </row>
    <row r="1119" spans="2:6" x14ac:dyDescent="0.35">
      <c r="B1119" s="13" t="s">
        <v>807</v>
      </c>
      <c r="C1119" s="15" t="str">
        <f t="shared" si="17"/>
        <v>Bilal Farooq</v>
      </c>
      <c r="D1119" s="17">
        <v>0.1</v>
      </c>
      <c r="E1119" s="15">
        <f>IFERROR(IF(Raw_Data!N1115="", 0, IF(Raw_Data!N1115&gt;1, Raw_Data!N1115/100, Raw_Data!N1115)), 0)</f>
        <v>0.1</v>
      </c>
      <c r="F1119" s="15">
        <f>IFERROR(VALUE(Raw_Data!O1115), Raw_Data!L1115*Raw_Data!M1115)</f>
        <v>1503.14</v>
      </c>
    </row>
    <row r="1120" spans="2:6" x14ac:dyDescent="0.35">
      <c r="B1120" s="13" t="s">
        <v>574</v>
      </c>
      <c r="C1120" s="15" t="str">
        <f t="shared" si="17"/>
        <v>Bilal Sheikh</v>
      </c>
      <c r="D1120" s="17">
        <v>0.3</v>
      </c>
      <c r="E1120" s="15">
        <f>IFERROR(IF(Raw_Data!N1116="", 0, IF(Raw_Data!N1116&gt;1, Raw_Data!N1116/100, Raw_Data!N1116)), 0)</f>
        <v>0.3</v>
      </c>
      <c r="F1120" s="15">
        <f>IFERROR(VALUE(Raw_Data!O1116), Raw_Data!L1116*Raw_Data!M1116)</f>
        <v>2247.63</v>
      </c>
    </row>
    <row r="1121" spans="2:6" x14ac:dyDescent="0.35">
      <c r="B1121" s="13" t="s">
        <v>274</v>
      </c>
      <c r="C1121" s="15" t="str">
        <f t="shared" si="17"/>
        <v>Mahnoor Butt</v>
      </c>
      <c r="D1121" s="17">
        <v>0.3</v>
      </c>
      <c r="E1121" s="15">
        <f>IFERROR(IF(Raw_Data!N1117="", 0, IF(Raw_Data!N1117&gt;1, Raw_Data!N1117/100, Raw_Data!N1117)), 0)</f>
        <v>0.3</v>
      </c>
      <c r="F1121" s="15">
        <f>IFERROR(VALUE(Raw_Data!O1117), Raw_Data!L1117*Raw_Data!M1117)</f>
        <v>7486.08</v>
      </c>
    </row>
    <row r="1122" spans="2:6" x14ac:dyDescent="0.35">
      <c r="B1122" s="13" t="s">
        <v>151</v>
      </c>
      <c r="C1122" s="15" t="str">
        <f t="shared" si="17"/>
        <v>Hina Butt</v>
      </c>
      <c r="D1122" s="17">
        <v>0</v>
      </c>
      <c r="E1122" s="15">
        <f>IFERROR(IF(Raw_Data!N1118="", 0, IF(Raw_Data!N1118&gt;1, Raw_Data!N1118/100, Raw_Data!N1118)), 0)</f>
        <v>0</v>
      </c>
      <c r="F1122" s="15">
        <f>IFERROR(VALUE(Raw_Data!O1118), Raw_Data!L1118*Raw_Data!M1118)</f>
        <v>5329.89</v>
      </c>
    </row>
    <row r="1123" spans="2:6" x14ac:dyDescent="0.35">
      <c r="B1123" s="13" t="s">
        <v>383</v>
      </c>
      <c r="C1123" s="15" t="str">
        <f t="shared" si="17"/>
        <v>Omar Ansari</v>
      </c>
      <c r="D1123" s="17">
        <v>0.3</v>
      </c>
      <c r="E1123" s="15">
        <f>IFERROR(IF(Raw_Data!N1119="", 0, IF(Raw_Data!N1119&gt;1, Raw_Data!N1119/100, Raw_Data!N1119)), 0)</f>
        <v>0.3</v>
      </c>
      <c r="F1123" s="15">
        <f>IFERROR(VALUE(Raw_Data!O1119), Raw_Data!L1119*Raw_Data!M1119)</f>
        <v>884.87</v>
      </c>
    </row>
    <row r="1124" spans="2:6" x14ac:dyDescent="0.35">
      <c r="B1124" s="13" t="s">
        <v>218</v>
      </c>
      <c r="C1124" s="15" t="str">
        <f t="shared" si="17"/>
        <v>Usman Iqbal</v>
      </c>
      <c r="D1124" s="17">
        <v>0</v>
      </c>
      <c r="E1124" s="15">
        <f>IFERROR(IF(Raw_Data!N1120="", 0, IF(Raw_Data!N1120&gt;1, Raw_Data!N1120/100, Raw_Data!N1120)), 0)</f>
        <v>0</v>
      </c>
      <c r="F1124" s="15">
        <f>IFERROR(VALUE(Raw_Data!O1120), Raw_Data!L1120*Raw_Data!M1120)</f>
        <v>1372.92</v>
      </c>
    </row>
    <row r="1125" spans="2:6" x14ac:dyDescent="0.35">
      <c r="B1125" s="13" t="s">
        <v>207</v>
      </c>
      <c r="C1125" s="15" t="str">
        <f t="shared" si="17"/>
        <v>Kamran Butt</v>
      </c>
      <c r="D1125" s="17">
        <v>0.15</v>
      </c>
      <c r="E1125" s="15">
        <f>IFERROR(IF(Raw_Data!N1121="", 0, IF(Raw_Data!N1121&gt;1, Raw_Data!N1121/100, Raw_Data!N1121)), 0)</f>
        <v>0.15</v>
      </c>
      <c r="F1125" s="15">
        <f>IFERROR(VALUE(Raw_Data!O1121), Raw_Data!L1121*Raw_Data!M1121)</f>
        <v>528.12</v>
      </c>
    </row>
    <row r="1126" spans="2:6" x14ac:dyDescent="0.35">
      <c r="B1126" s="13" t="s">
        <v>225</v>
      </c>
      <c r="C1126" s="15" t="str">
        <f t="shared" si="17"/>
        <v>Rabia Chaudhry</v>
      </c>
      <c r="D1126" s="17">
        <v>0.1</v>
      </c>
      <c r="E1126" s="15">
        <f>IFERROR(IF(Raw_Data!N1122="", 0, IF(Raw_Data!N1122&gt;1, Raw_Data!N1122/100, Raw_Data!N1122)), 0)</f>
        <v>0.1</v>
      </c>
      <c r="F1126" s="15">
        <f>IFERROR(VALUE(Raw_Data!O1122), Raw_Data!L1122*Raw_Data!M1122)</f>
        <v>4212.18</v>
      </c>
    </row>
    <row r="1127" spans="2:6" x14ac:dyDescent="0.35">
      <c r="B1127" s="13" t="s">
        <v>386</v>
      </c>
      <c r="C1127" s="15" t="str">
        <f t="shared" si="17"/>
        <v>Tariq Farooq</v>
      </c>
      <c r="D1127" s="17">
        <v>0.15</v>
      </c>
      <c r="E1127" s="15">
        <f>IFERROR(IF(Raw_Data!N1123="", 0, IF(Raw_Data!N1123&gt;1, Raw_Data!N1123/100, Raw_Data!N1123)), 0)</f>
        <v>0.15</v>
      </c>
      <c r="F1127" s="15">
        <f>IFERROR(VALUE(Raw_Data!O1123), Raw_Data!L1123*Raw_Data!M1123)</f>
        <v>4931.1000000000004</v>
      </c>
    </row>
    <row r="1128" spans="2:6" x14ac:dyDescent="0.35">
      <c r="B1128" s="13" t="s">
        <v>750</v>
      </c>
      <c r="C1128" s="15" t="str">
        <f t="shared" si="17"/>
        <v>Faisal Qureshi</v>
      </c>
      <c r="D1128" s="17">
        <v>0</v>
      </c>
      <c r="E1128" s="15">
        <f>IFERROR(IF(Raw_Data!N1124="", 0, IF(Raw_Data!N1124&gt;1, Raw_Data!N1124/100, Raw_Data!N1124)), 0)</f>
        <v>0</v>
      </c>
      <c r="F1128" s="15">
        <f>IFERROR(VALUE(Raw_Data!O1124), Raw_Data!L1124*Raw_Data!M1124)</f>
        <v>7008.48</v>
      </c>
    </row>
    <row r="1129" spans="2:6" x14ac:dyDescent="0.35">
      <c r="B1129" s="13" t="s">
        <v>533</v>
      </c>
      <c r="C1129" s="15" t="str">
        <f t="shared" si="17"/>
        <v>Rabia Farooq</v>
      </c>
      <c r="D1129" s="17">
        <v>0</v>
      </c>
      <c r="E1129" s="15">
        <f>IFERROR(IF(Raw_Data!N1125="", 0, IF(Raw_Data!N1125&gt;1, Raw_Data!N1125/100, Raw_Data!N1125)), 0)</f>
        <v>0</v>
      </c>
      <c r="F1129" s="15">
        <f>IFERROR(VALUE(Raw_Data!O1125), Raw_Data!L1125*Raw_Data!M1125)</f>
        <v>4860</v>
      </c>
    </row>
    <row r="1130" spans="2:6" x14ac:dyDescent="0.35">
      <c r="B1130" s="13" t="s">
        <v>375</v>
      </c>
      <c r="C1130" s="15" t="str">
        <f t="shared" si="17"/>
        <v>Sara Raza</v>
      </c>
      <c r="D1130" s="17">
        <v>0.2</v>
      </c>
      <c r="E1130" s="15">
        <f>IFERROR(IF(Raw_Data!N1126="", 0, IF(Raw_Data!N1126&gt;1, Raw_Data!N1126/100, Raw_Data!N1126)), 0)</f>
        <v>0.2</v>
      </c>
      <c r="F1130" s="15">
        <f>IFERROR(VALUE(Raw_Data!O1126), Raw_Data!L1126*Raw_Data!M1126)</f>
        <v>3546.9</v>
      </c>
    </row>
    <row r="1131" spans="2:6" x14ac:dyDescent="0.35">
      <c r="B1131" s="13" t="s">
        <v>110</v>
      </c>
      <c r="C1131" s="15" t="str">
        <f t="shared" si="17"/>
        <v>Omar Chaudhry</v>
      </c>
      <c r="D1131" s="17">
        <v>0.1</v>
      </c>
      <c r="E1131" s="15">
        <f>IFERROR(IF(Raw_Data!N1127="", 0, IF(Raw_Data!N1127&gt;1, Raw_Data!N1127/100, Raw_Data!N1127)), 0)</f>
        <v>0.1</v>
      </c>
      <c r="F1131" s="15">
        <f>IFERROR(VALUE(Raw_Data!O1127), Raw_Data!L1127*Raw_Data!M1127)</f>
        <v>4235.3999999999996</v>
      </c>
    </row>
    <row r="1132" spans="2:6" x14ac:dyDescent="0.35">
      <c r="B1132" s="13" t="s">
        <v>281</v>
      </c>
      <c r="C1132" s="15" t="str">
        <f t="shared" si="17"/>
        <v>Ayesha Sheikh</v>
      </c>
      <c r="D1132" s="17">
        <v>0.1</v>
      </c>
      <c r="E1132" s="15">
        <f>IFERROR(IF(Raw_Data!N1128="", 0, IF(Raw_Data!N1128&gt;1, Raw_Data!N1128/100, Raw_Data!N1128)), 0)</f>
        <v>0.1</v>
      </c>
      <c r="F1132" s="15">
        <f>IFERROR(VALUE(Raw_Data!O1128), Raw_Data!L1128*Raw_Data!M1128)</f>
        <v>6902.19</v>
      </c>
    </row>
    <row r="1133" spans="2:6" x14ac:dyDescent="0.35">
      <c r="B1133" s="13" t="s">
        <v>204</v>
      </c>
      <c r="C1133" s="15" t="str">
        <f t="shared" si="17"/>
        <v>Faisal Farooq</v>
      </c>
      <c r="D1133" s="17">
        <v>0.15</v>
      </c>
      <c r="E1133" s="15">
        <f>IFERROR(IF(Raw_Data!N1129="", 0, IF(Raw_Data!N1129&gt;1, Raw_Data!N1129/100, Raw_Data!N1129)), 0)</f>
        <v>0.15</v>
      </c>
      <c r="F1133" s="15">
        <f>IFERROR(VALUE(Raw_Data!O1129), Raw_Data!L1129*Raw_Data!M1129)</f>
        <v>693.69</v>
      </c>
    </row>
    <row r="1134" spans="2:6" x14ac:dyDescent="0.35">
      <c r="B1134" s="13" t="s">
        <v>66</v>
      </c>
      <c r="C1134" s="15" t="str">
        <f t="shared" si="17"/>
        <v>Usman Qureshi</v>
      </c>
      <c r="D1134" s="17">
        <v>0.2</v>
      </c>
      <c r="E1134" s="15">
        <f>IFERROR(IF(Raw_Data!N1130="", 0, IF(Raw_Data!N1130&gt;1, Raw_Data!N1130/100, Raw_Data!N1130)), 0)</f>
        <v>0.2</v>
      </c>
      <c r="F1134" s="15">
        <f>IFERROR(VALUE(Raw_Data!O1130), Raw_Data!L1130*Raw_Data!M1130)</f>
        <v>1881.44</v>
      </c>
    </row>
    <row r="1135" spans="2:6" x14ac:dyDescent="0.35">
      <c r="B1135" s="13" t="s">
        <v>276</v>
      </c>
      <c r="C1135" s="15" t="str">
        <f t="shared" si="17"/>
        <v>Faisal Malik</v>
      </c>
      <c r="D1135" s="17">
        <v>0</v>
      </c>
      <c r="E1135" s="15">
        <f>IFERROR(IF(Raw_Data!N1131="", 0, IF(Raw_Data!N1131&gt;1, Raw_Data!N1131/100, Raw_Data!N1131)), 0)</f>
        <v>0</v>
      </c>
      <c r="F1135" s="15">
        <f>IFERROR(VALUE(Raw_Data!O1131), Raw_Data!L1131*Raw_Data!M1131)</f>
        <v>93.25</v>
      </c>
    </row>
    <row r="1136" spans="2:6" x14ac:dyDescent="0.35">
      <c r="B1136" s="13" t="s">
        <v>562</v>
      </c>
      <c r="C1136" s="15" t="str">
        <f t="shared" si="17"/>
        <v>Faisal Iqbal</v>
      </c>
      <c r="D1136" s="17">
        <v>0</v>
      </c>
      <c r="E1136" s="15">
        <f>IFERROR(IF(Raw_Data!N1132="", 0, IF(Raw_Data!N1132&gt;1, Raw_Data!N1132/100, Raw_Data!N1132)), 0)</f>
        <v>0</v>
      </c>
      <c r="F1136" s="15">
        <f>IFERROR(VALUE(Raw_Data!O1132), Raw_Data!L1132*Raw_Data!M1132)</f>
        <v>3734.52</v>
      </c>
    </row>
    <row r="1137" spans="2:6" x14ac:dyDescent="0.35">
      <c r="B1137" s="13" t="s">
        <v>505</v>
      </c>
      <c r="C1137" s="15" t="str">
        <f t="shared" si="17"/>
        <v>Imran Iqbal</v>
      </c>
      <c r="D1137" s="17">
        <v>0</v>
      </c>
      <c r="E1137" s="15">
        <f>IFERROR(IF(Raw_Data!N1133="", 0, IF(Raw_Data!N1133&gt;1, Raw_Data!N1133/100, Raw_Data!N1133)), 0)</f>
        <v>0</v>
      </c>
      <c r="F1137" s="15">
        <f>IFERROR(VALUE(Raw_Data!O1133), Raw_Data!L1133*Raw_Data!M1133)</f>
        <v>5970.02</v>
      </c>
    </row>
    <row r="1138" spans="2:6" x14ac:dyDescent="0.35">
      <c r="B1138" s="13" t="s">
        <v>351</v>
      </c>
      <c r="C1138" s="15" t="str">
        <f t="shared" si="17"/>
        <v>Ahmed Qureshi</v>
      </c>
      <c r="D1138" s="17">
        <v>0.1</v>
      </c>
      <c r="E1138" s="15">
        <f>IFERROR(IF(Raw_Data!N1134="", 0, IF(Raw_Data!N1134&gt;1, Raw_Data!N1134/100, Raw_Data!N1134)), 0)</f>
        <v>0.1</v>
      </c>
      <c r="F1138" s="15">
        <f>IFERROR(VALUE(Raw_Data!O1134), Raw_Data!L1134*Raw_Data!M1134)</f>
        <v>2125.5500000000002</v>
      </c>
    </row>
    <row r="1139" spans="2:6" x14ac:dyDescent="0.35">
      <c r="B1139" s="13" t="s">
        <v>301</v>
      </c>
      <c r="C1139" s="15" t="str">
        <f t="shared" si="17"/>
        <v>Sara Malik</v>
      </c>
      <c r="D1139" s="17">
        <v>0.15</v>
      </c>
      <c r="E1139" s="15">
        <f>IFERROR(IF(Raw_Data!N1135="", 0, IF(Raw_Data!N1135&gt;1, Raw_Data!N1135/100, Raw_Data!N1135)), 0)</f>
        <v>0.15</v>
      </c>
      <c r="F1139" s="15">
        <f>IFERROR(VALUE(Raw_Data!O1135), Raw_Data!L1135*Raw_Data!M1135)</f>
        <v>5194.4399999999996</v>
      </c>
    </row>
    <row r="1140" spans="2:6" x14ac:dyDescent="0.35">
      <c r="B1140" s="13" t="s">
        <v>200</v>
      </c>
      <c r="C1140" s="15" t="str">
        <f t="shared" si="17"/>
        <v>Nida Malik</v>
      </c>
      <c r="D1140" s="17">
        <v>0.15</v>
      </c>
      <c r="E1140" s="15">
        <f>IFERROR(IF(Raw_Data!N1136="", 0, IF(Raw_Data!N1136&gt;1, Raw_Data!N1136/100, Raw_Data!N1136)), 0)</f>
        <v>0.15</v>
      </c>
      <c r="F1140" s="15">
        <f>IFERROR(VALUE(Raw_Data!O1136), Raw_Data!L1136*Raw_Data!M1136)</f>
        <v>5552.75</v>
      </c>
    </row>
    <row r="1141" spans="2:6" x14ac:dyDescent="0.35">
      <c r="B1141" s="13" t="s">
        <v>637</v>
      </c>
      <c r="C1141" s="15" t="str">
        <f t="shared" si="17"/>
        <v>Ayesha Iqbal</v>
      </c>
      <c r="D1141" s="17">
        <v>0.2</v>
      </c>
      <c r="E1141" s="15">
        <f>IFERROR(IF(Raw_Data!N1137="", 0, IF(Raw_Data!N1137&gt;1, Raw_Data!N1137/100, Raw_Data!N1137)), 0)</f>
        <v>0.2</v>
      </c>
      <c r="F1141" s="15">
        <f>IFERROR(VALUE(Raw_Data!O1137), Raw_Data!L1137*Raw_Data!M1137)</f>
        <v>5351.57</v>
      </c>
    </row>
    <row r="1142" spans="2:6" x14ac:dyDescent="0.35">
      <c r="B1142" s="13" t="s">
        <v>89</v>
      </c>
      <c r="C1142" s="15" t="str">
        <f t="shared" si="17"/>
        <v>Hina Khan</v>
      </c>
      <c r="D1142" s="17">
        <v>0</v>
      </c>
      <c r="E1142" s="15">
        <f>IFERROR(IF(Raw_Data!N1138="", 0, IF(Raw_Data!N1138&gt;1, Raw_Data!N1138/100, Raw_Data!N1138)), 0)</f>
        <v>0</v>
      </c>
      <c r="F1142" s="15">
        <f>IFERROR(VALUE(Raw_Data!O1138), Raw_Data!L1138*Raw_Data!M1138)</f>
        <v>533.46</v>
      </c>
    </row>
    <row r="1143" spans="2:6" x14ac:dyDescent="0.35">
      <c r="B1143" s="13" t="s">
        <v>1053</v>
      </c>
      <c r="C1143" s="15" t="str">
        <f t="shared" si="17"/>
        <v>Mahnoor Ansari</v>
      </c>
      <c r="D1143" s="17">
        <v>0.3</v>
      </c>
      <c r="E1143" s="15">
        <f>IFERROR(IF(Raw_Data!N1139="", 0, IF(Raw_Data!N1139&gt;1, Raw_Data!N1139/100, Raw_Data!N1139)), 0)</f>
        <v>0.3</v>
      </c>
      <c r="F1143" s="15">
        <f>IFERROR(VALUE(Raw_Data!O1139), Raw_Data!L1139*Raw_Data!M1139)</f>
        <v>944.3</v>
      </c>
    </row>
    <row r="1144" spans="2:6" x14ac:dyDescent="0.35">
      <c r="B1144" s="13" t="s">
        <v>98</v>
      </c>
      <c r="C1144" s="15" t="str">
        <f t="shared" si="17"/>
        <v>Sana Ansari</v>
      </c>
      <c r="D1144" s="17">
        <v>0</v>
      </c>
      <c r="E1144" s="15">
        <f>IFERROR(IF(Raw_Data!N1140="", 0, IF(Raw_Data!N1140&gt;1, Raw_Data!N1140/100, Raw_Data!N1140)), 0)</f>
        <v>0</v>
      </c>
      <c r="F1144" s="15">
        <f>IFERROR(VALUE(Raw_Data!O1140), Raw_Data!L1140*Raw_Data!M1140)</f>
        <v>2246.37</v>
      </c>
    </row>
    <row r="1145" spans="2:6" x14ac:dyDescent="0.35">
      <c r="B1145" s="13" t="s">
        <v>1460</v>
      </c>
      <c r="C1145" s="15" t="str">
        <f t="shared" si="17"/>
        <v>Faisal Butt</v>
      </c>
      <c r="D1145" s="17">
        <v>0</v>
      </c>
      <c r="E1145" s="15">
        <f>IFERROR(IF(Raw_Data!N1141="", 0, IF(Raw_Data!N1141&gt;1, Raw_Data!N1141/100, Raw_Data!N1141)), 0)</f>
        <v>0</v>
      </c>
      <c r="F1145" s="15">
        <f>IFERROR(VALUE(Raw_Data!O1141), Raw_Data!L1141*Raw_Data!M1141)</f>
        <v>1210.6199999999999</v>
      </c>
    </row>
    <row r="1146" spans="2:6" x14ac:dyDescent="0.35">
      <c r="B1146" s="13">
        <v>0</v>
      </c>
      <c r="C1146" s="15" t="str">
        <f t="shared" si="17"/>
        <v>Unknown Customer</v>
      </c>
      <c r="D1146" s="17">
        <v>0.2</v>
      </c>
      <c r="E1146" s="15">
        <f>IFERROR(IF(Raw_Data!N1142="", 0, IF(Raw_Data!N1142&gt;1, Raw_Data!N1142/100, Raw_Data!N1142)), 0)</f>
        <v>0.2</v>
      </c>
      <c r="F1146" s="15">
        <f>IFERROR(VALUE(Raw_Data!O1142), Raw_Data!L1142*Raw_Data!M1142)</f>
        <v>2482.8000000000002</v>
      </c>
    </row>
    <row r="1147" spans="2:6" x14ac:dyDescent="0.35">
      <c r="B1147" s="13" t="s">
        <v>503</v>
      </c>
      <c r="C1147" s="15" t="str">
        <f t="shared" si="17"/>
        <v>Nida Raza</v>
      </c>
      <c r="D1147" s="17">
        <v>0.1</v>
      </c>
      <c r="E1147" s="15">
        <f>IFERROR(IF(Raw_Data!N1143="", 0, IF(Raw_Data!N1143&gt;1, Raw_Data!N1143/100, Raw_Data!N1143)), 0)</f>
        <v>0.1</v>
      </c>
      <c r="F1147" s="15">
        <f>IFERROR(VALUE(Raw_Data!O1143), Raw_Data!L1143*Raw_Data!M1143)</f>
        <v>2180.92</v>
      </c>
    </row>
    <row r="1148" spans="2:6" x14ac:dyDescent="0.35">
      <c r="B1148" s="13" t="s">
        <v>93</v>
      </c>
      <c r="C1148" s="15" t="str">
        <f t="shared" si="17"/>
        <v>Fatima Qureshi</v>
      </c>
      <c r="D1148" s="17">
        <v>0.15</v>
      </c>
      <c r="E1148" s="15">
        <f>IFERROR(IF(Raw_Data!N1144="", 0, IF(Raw_Data!N1144&gt;1, Raw_Data!N1144/100, Raw_Data!N1144)), 0)</f>
        <v>0.15</v>
      </c>
      <c r="F1148" s="15">
        <f>IFERROR(VALUE(Raw_Data!O1144), Raw_Data!L1144*Raw_Data!M1144)</f>
        <v>484.68</v>
      </c>
    </row>
    <row r="1149" spans="2:6" x14ac:dyDescent="0.35">
      <c r="B1149" s="13" t="s">
        <v>326</v>
      </c>
      <c r="C1149" s="15" t="str">
        <f t="shared" si="17"/>
        <v>Ali Raza</v>
      </c>
      <c r="D1149" s="17">
        <v>0</v>
      </c>
      <c r="E1149" s="15">
        <f>IFERROR(IF(Raw_Data!N1145="", 0, IF(Raw_Data!N1145&gt;1, Raw_Data!N1145/100, Raw_Data!N1145)), 0)</f>
        <v>0</v>
      </c>
      <c r="F1149" s="15">
        <f>IFERROR(VALUE(Raw_Data!O1145), Raw_Data!L1145*Raw_Data!M1145)</f>
        <v>438.72</v>
      </c>
    </row>
    <row r="1150" spans="2:6" x14ac:dyDescent="0.35">
      <c r="B1150" s="13" t="s">
        <v>141</v>
      </c>
      <c r="C1150" s="15" t="str">
        <f t="shared" si="17"/>
        <v>Fatima Ansari</v>
      </c>
      <c r="D1150" s="17">
        <v>0.1</v>
      </c>
      <c r="E1150" s="15">
        <f>IFERROR(IF(Raw_Data!N1146="", 0, IF(Raw_Data!N1146&gt;1, Raw_Data!N1146/100, Raw_Data!N1146)), 0)</f>
        <v>0.1</v>
      </c>
      <c r="F1150" s="15">
        <f>IFERROR(VALUE(Raw_Data!O1146), Raw_Data!L1146*Raw_Data!M1146)</f>
        <v>326.02</v>
      </c>
    </row>
    <row r="1151" spans="2:6" x14ac:dyDescent="0.35">
      <c r="B1151" s="13" t="s">
        <v>574</v>
      </c>
      <c r="C1151" s="15" t="str">
        <f t="shared" si="17"/>
        <v>Bilal Sheikh</v>
      </c>
      <c r="D1151" s="17">
        <v>0.1</v>
      </c>
      <c r="E1151" s="15">
        <f>IFERROR(IF(Raw_Data!N1147="", 0, IF(Raw_Data!N1147&gt;1, Raw_Data!N1147/100, Raw_Data!N1147)), 0)</f>
        <v>0.1</v>
      </c>
      <c r="F1151" s="15">
        <f>IFERROR(VALUE(Raw_Data!O1147), Raw_Data!L1147*Raw_Data!M1147)</f>
        <v>4200.7700000000004</v>
      </c>
    </row>
    <row r="1152" spans="2:6" x14ac:dyDescent="0.35">
      <c r="B1152" s="13" t="s">
        <v>455</v>
      </c>
      <c r="C1152" s="15" t="str">
        <f t="shared" si="17"/>
        <v>Ali Sheikh</v>
      </c>
      <c r="D1152" s="17">
        <v>0.2</v>
      </c>
      <c r="E1152" s="15">
        <f>IFERROR(IF(Raw_Data!N1148="", 0, IF(Raw_Data!N1148&gt;1, Raw_Data!N1148/100, Raw_Data!N1148)), 0)</f>
        <v>0.2</v>
      </c>
      <c r="F1152" s="15">
        <f>IFERROR(VALUE(Raw_Data!O1148), Raw_Data!L1148*Raw_Data!M1148)</f>
        <v>3246.56</v>
      </c>
    </row>
    <row r="1153" spans="2:6" x14ac:dyDescent="0.35">
      <c r="B1153" s="13" t="s">
        <v>337</v>
      </c>
      <c r="C1153" s="15" t="str">
        <f t="shared" si="17"/>
        <v>Usman Ansari</v>
      </c>
      <c r="D1153" s="17">
        <v>0.1</v>
      </c>
      <c r="E1153" s="15">
        <f>IFERROR(IF(Raw_Data!N1149="", 0, IF(Raw_Data!N1149&gt;1, Raw_Data!N1149/100, Raw_Data!N1149)), 0)</f>
        <v>0.1</v>
      </c>
      <c r="F1153" s="15">
        <f>IFERROR(VALUE(Raw_Data!O1149), Raw_Data!L1149*Raw_Data!M1149)</f>
        <v>5793.92</v>
      </c>
    </row>
    <row r="1154" spans="2:6" x14ac:dyDescent="0.35">
      <c r="B1154" s="13" t="s">
        <v>463</v>
      </c>
      <c r="C1154" s="15" t="str">
        <f t="shared" si="17"/>
        <v>Tariq Iqbal</v>
      </c>
      <c r="D1154" s="17">
        <v>0.3</v>
      </c>
      <c r="E1154" s="15">
        <f>IFERROR(IF(Raw_Data!N1150="", 0, IF(Raw_Data!N1150&gt;1, Raw_Data!N1150/100, Raw_Data!N1150)), 0)</f>
        <v>0.3</v>
      </c>
      <c r="F1154" s="15">
        <f>IFERROR(VALUE(Raw_Data!O1150), Raw_Data!L1150*Raw_Data!M1150)</f>
        <v>1152.7</v>
      </c>
    </row>
    <row r="1155" spans="2:6" x14ac:dyDescent="0.35">
      <c r="B1155" s="13" t="s">
        <v>521</v>
      </c>
      <c r="C1155" s="15" t="str">
        <f t="shared" si="17"/>
        <v>Sara Ansari</v>
      </c>
      <c r="D1155" s="17">
        <v>0.1</v>
      </c>
      <c r="E1155" s="15">
        <f>IFERROR(IF(Raw_Data!N1151="", 0, IF(Raw_Data!N1151&gt;1, Raw_Data!N1151/100, Raw_Data!N1151)), 0)</f>
        <v>0.1</v>
      </c>
      <c r="F1155" s="15">
        <f>IFERROR(VALUE(Raw_Data!O1151), Raw_Data!L1151*Raw_Data!M1151)</f>
        <v>1399.72</v>
      </c>
    </row>
    <row r="1156" spans="2:6" x14ac:dyDescent="0.35">
      <c r="B1156" s="13">
        <v>0</v>
      </c>
      <c r="C1156" s="15" t="str">
        <f t="shared" si="17"/>
        <v>Unknown Customer</v>
      </c>
      <c r="D1156" s="17">
        <v>0.1</v>
      </c>
      <c r="E1156" s="15">
        <f>IFERROR(IF(Raw_Data!N1152="", 0, IF(Raw_Data!N1152&gt;1, Raw_Data!N1152/100, Raw_Data!N1152)), 0)</f>
        <v>0.1</v>
      </c>
      <c r="F1156" s="15">
        <f>IFERROR(VALUE(Raw_Data!O1152), Raw_Data!L1152*Raw_Data!M1152)</f>
        <v>3515.36</v>
      </c>
    </row>
    <row r="1157" spans="2:6" x14ac:dyDescent="0.35">
      <c r="B1157" s="13" t="s">
        <v>551</v>
      </c>
      <c r="C1157" s="15" t="str">
        <f t="shared" si="17"/>
        <v>Kamran Chaudhry</v>
      </c>
      <c r="D1157" s="17">
        <v>0.1</v>
      </c>
      <c r="E1157" s="15">
        <f>IFERROR(IF(Raw_Data!N1153="", 0, IF(Raw_Data!N1153&gt;1, Raw_Data!N1153/100, Raw_Data!N1153)), 0)</f>
        <v>0.1</v>
      </c>
      <c r="F1157" s="15">
        <f>IFERROR(VALUE(Raw_Data!O1153), Raw_Data!L1153*Raw_Data!M1153)</f>
        <v>1972.65</v>
      </c>
    </row>
    <row r="1158" spans="2:6" x14ac:dyDescent="0.35">
      <c r="B1158" s="13" t="s">
        <v>453</v>
      </c>
      <c r="C1158" s="15" t="str">
        <f t="shared" si="17"/>
        <v>Adeel Khan</v>
      </c>
      <c r="D1158" s="17">
        <v>0</v>
      </c>
      <c r="E1158" s="15">
        <f>IFERROR(IF(Raw_Data!N1154="", 0, IF(Raw_Data!N1154&gt;1, Raw_Data!N1154/100, Raw_Data!N1154)), 0)</f>
        <v>0</v>
      </c>
      <c r="F1158" s="15">
        <f>IFERROR(VALUE(Raw_Data!O1154), Raw_Data!L1154*Raw_Data!M1154)</f>
        <v>6221.04</v>
      </c>
    </row>
    <row r="1159" spans="2:6" x14ac:dyDescent="0.35">
      <c r="B1159" s="13" t="s">
        <v>847</v>
      </c>
      <c r="C1159" s="15" t="str">
        <f t="shared" ref="C1159:C1222" si="18">IF(OR(B1159="",B1159=0), "Unknown Customer", PROPER(TRIM(B1159)))</f>
        <v>Sana Sheikh</v>
      </c>
      <c r="D1159" s="17">
        <v>0.2</v>
      </c>
      <c r="E1159" s="15">
        <f>IFERROR(IF(Raw_Data!N1155="", 0, IF(Raw_Data!N1155&gt;1, Raw_Data!N1155/100, Raw_Data!N1155)), 0)</f>
        <v>0.2</v>
      </c>
      <c r="F1159" s="15">
        <f>IFERROR(VALUE(Raw_Data!O1155), Raw_Data!L1155*Raw_Data!M1155)</f>
        <v>4120.16</v>
      </c>
    </row>
    <row r="1160" spans="2:6" x14ac:dyDescent="0.35">
      <c r="B1160" s="13" t="s">
        <v>118</v>
      </c>
      <c r="C1160" s="15" t="str">
        <f t="shared" si="18"/>
        <v>Ali Malik</v>
      </c>
      <c r="D1160" s="17">
        <v>0.3</v>
      </c>
      <c r="E1160" s="15">
        <f>IFERROR(IF(Raw_Data!N1156="", 0, IF(Raw_Data!N1156&gt;1, Raw_Data!N1156/100, Raw_Data!N1156)), 0)</f>
        <v>0.3</v>
      </c>
      <c r="F1160" s="15">
        <f>IFERROR(VALUE(Raw_Data!O1156), Raw_Data!L1156*Raw_Data!M1156)</f>
        <v>2177.77</v>
      </c>
    </row>
    <row r="1161" spans="2:6" x14ac:dyDescent="0.35">
      <c r="B1161" s="13" t="s">
        <v>521</v>
      </c>
      <c r="C1161" s="15" t="str">
        <f t="shared" si="18"/>
        <v>Sara Ansari</v>
      </c>
      <c r="D1161" s="17">
        <v>0</v>
      </c>
      <c r="E1161" s="15">
        <f>IFERROR(IF(Raw_Data!N1157="", 0, IF(Raw_Data!N1157&gt;1, Raw_Data!N1157/100, Raw_Data!N1157)), 0)</f>
        <v>0</v>
      </c>
      <c r="F1161" s="15">
        <f>IFERROR(VALUE(Raw_Data!O1157), Raw_Data!L1157*Raw_Data!M1157)</f>
        <v>7686</v>
      </c>
    </row>
    <row r="1162" spans="2:6" x14ac:dyDescent="0.35">
      <c r="B1162" s="13" t="s">
        <v>403</v>
      </c>
      <c r="C1162" s="15" t="str">
        <f t="shared" si="18"/>
        <v>Adeel Ansari</v>
      </c>
      <c r="D1162" s="17">
        <v>0</v>
      </c>
      <c r="E1162" s="15">
        <f>IFERROR(IF(Raw_Data!N1158="", 0, IF(Raw_Data!N1158&gt;1, Raw_Data!N1158/100, Raw_Data!N1158)), 0)</f>
        <v>0</v>
      </c>
      <c r="F1162" s="15">
        <f>IFERROR(VALUE(Raw_Data!O1158), Raw_Data!L1158*Raw_Data!M1158)</f>
        <v>2944.32</v>
      </c>
    </row>
    <row r="1163" spans="2:6" x14ac:dyDescent="0.35">
      <c r="B1163" s="13" t="s">
        <v>314</v>
      </c>
      <c r="C1163" s="15" t="str">
        <f t="shared" si="18"/>
        <v>Sara Butt</v>
      </c>
      <c r="D1163" s="17">
        <v>0.3</v>
      </c>
      <c r="E1163" s="15">
        <f>IFERROR(IF(Raw_Data!N1159="", 0, IF(Raw_Data!N1159&gt;1, Raw_Data!N1159/100, Raw_Data!N1159)), 0)</f>
        <v>0.3</v>
      </c>
      <c r="F1163" s="15">
        <f>IFERROR(VALUE(Raw_Data!O1159), Raw_Data!L1159*Raw_Data!M1159)</f>
        <v>4202.7</v>
      </c>
    </row>
    <row r="1164" spans="2:6" x14ac:dyDescent="0.35">
      <c r="B1164" s="13" t="s">
        <v>615</v>
      </c>
      <c r="C1164" s="15" t="str">
        <f t="shared" si="18"/>
        <v>Bilal Qureshi</v>
      </c>
      <c r="D1164" s="17">
        <v>0</v>
      </c>
      <c r="E1164" s="15">
        <f>IFERROR(IF(Raw_Data!N1160="", 0, IF(Raw_Data!N1160&gt;1, Raw_Data!N1160/100, Raw_Data!N1160)), 0)</f>
        <v>0</v>
      </c>
      <c r="F1164" s="15">
        <f>IFERROR(VALUE(Raw_Data!O1160), Raw_Data!L1160*Raw_Data!M1160)</f>
        <v>2253.06</v>
      </c>
    </row>
    <row r="1165" spans="2:6" x14ac:dyDescent="0.35">
      <c r="B1165" s="13" t="s">
        <v>386</v>
      </c>
      <c r="C1165" s="15" t="str">
        <f t="shared" si="18"/>
        <v>Tariq Farooq</v>
      </c>
      <c r="D1165" s="17">
        <v>0</v>
      </c>
      <c r="E1165" s="15">
        <f>IFERROR(IF(Raw_Data!N1161="", 0, IF(Raw_Data!N1161&gt;1, Raw_Data!N1161/100, Raw_Data!N1161)), 0)</f>
        <v>0</v>
      </c>
      <c r="F1165" s="15">
        <f>IFERROR(VALUE(Raw_Data!O1161), Raw_Data!L1161*Raw_Data!M1161)</f>
        <v>6666.44</v>
      </c>
    </row>
    <row r="1166" spans="2:6" x14ac:dyDescent="0.35">
      <c r="B1166" s="13" t="s">
        <v>301</v>
      </c>
      <c r="C1166" s="15" t="str">
        <f t="shared" si="18"/>
        <v>Sara Malik</v>
      </c>
      <c r="D1166" s="17">
        <v>0.1</v>
      </c>
      <c r="E1166" s="15">
        <f>IFERROR(IF(Raw_Data!N1162="", 0, IF(Raw_Data!N1162&gt;1, Raw_Data!N1162/100, Raw_Data!N1162)), 0)</f>
        <v>0.1</v>
      </c>
      <c r="F1166" s="15">
        <f>IFERROR(VALUE(Raw_Data!O1162), Raw_Data!L1162*Raw_Data!M1162)</f>
        <v>6864.1</v>
      </c>
    </row>
    <row r="1167" spans="2:6" x14ac:dyDescent="0.35">
      <c r="B1167" s="13" t="s">
        <v>758</v>
      </c>
      <c r="C1167" s="15" t="str">
        <f t="shared" si="18"/>
        <v>Sara Farooq</v>
      </c>
      <c r="D1167" s="17">
        <v>0</v>
      </c>
      <c r="E1167" s="15">
        <f>IFERROR(IF(Raw_Data!N1163="", 0, IF(Raw_Data!N1163&gt;1, Raw_Data!N1163/100, Raw_Data!N1163)), 0)</f>
        <v>0</v>
      </c>
      <c r="F1167" s="15">
        <f>IFERROR(VALUE(Raw_Data!O1163), Raw_Data!L1163*Raw_Data!M1163)</f>
        <v>675.38</v>
      </c>
    </row>
    <row r="1168" spans="2:6" x14ac:dyDescent="0.35">
      <c r="B1168" s="13" t="s">
        <v>565</v>
      </c>
      <c r="C1168" s="15" t="str">
        <f t="shared" si="18"/>
        <v>Fatima Khan</v>
      </c>
      <c r="D1168" s="17">
        <v>0</v>
      </c>
      <c r="E1168" s="15">
        <f>IFERROR(IF(Raw_Data!N1164="", 0, IF(Raw_Data!N1164&gt;1, Raw_Data!N1164/100, Raw_Data!N1164)), 0)</f>
        <v>0</v>
      </c>
      <c r="F1168" s="15">
        <f>IFERROR(VALUE(Raw_Data!O1164), Raw_Data!L1164*Raw_Data!M1164)</f>
        <v>1602.4</v>
      </c>
    </row>
    <row r="1169" spans="2:6" x14ac:dyDescent="0.35">
      <c r="B1169" s="13" t="s">
        <v>227</v>
      </c>
      <c r="C1169" s="15" t="str">
        <f t="shared" si="18"/>
        <v>Omar Qureshi</v>
      </c>
      <c r="D1169" s="17">
        <v>0.2</v>
      </c>
      <c r="E1169" s="15">
        <f>IFERROR(IF(Raw_Data!N1165="", 0, IF(Raw_Data!N1165&gt;1, Raw_Data!N1165/100, Raw_Data!N1165)), 0)</f>
        <v>0.2</v>
      </c>
      <c r="F1169" s="15">
        <f>IFERROR(VALUE(Raw_Data!O1165), Raw_Data!L1165*Raw_Data!M1165)</f>
        <v>2852.22</v>
      </c>
    </row>
    <row r="1170" spans="2:6" x14ac:dyDescent="0.35">
      <c r="B1170" s="13" t="s">
        <v>1485</v>
      </c>
      <c r="C1170" s="15" t="str">
        <f t="shared" si="18"/>
        <v>Fatima Qureshi</v>
      </c>
      <c r="D1170" s="17">
        <v>0.2</v>
      </c>
      <c r="E1170" s="15">
        <f>IFERROR(IF(Raw_Data!N1166="", 0, IF(Raw_Data!N1166&gt;1, Raw_Data!N1166/100, Raw_Data!N1166)), 0)</f>
        <v>0.2</v>
      </c>
      <c r="F1170" s="15">
        <f>IFERROR(VALUE(Raw_Data!O1166), Raw_Data!L1166*Raw_Data!M1166)</f>
        <v>1127.2</v>
      </c>
    </row>
    <row r="1171" spans="2:6" x14ac:dyDescent="0.35">
      <c r="B1171" s="13" t="s">
        <v>324</v>
      </c>
      <c r="C1171" s="15" t="str">
        <f t="shared" si="18"/>
        <v>Hassan Butt</v>
      </c>
      <c r="D1171" s="17">
        <v>0</v>
      </c>
      <c r="E1171" s="15">
        <f>IFERROR(IF(Raw_Data!N1167="", 0, IF(Raw_Data!N1167&gt;1, Raw_Data!N1167/100, Raw_Data!N1167)), 0)</f>
        <v>0</v>
      </c>
      <c r="F1171" s="15">
        <f>IFERROR(VALUE(Raw_Data!O1167), Raw_Data!L1167*Raw_Data!M1167)</f>
        <v>653.79</v>
      </c>
    </row>
    <row r="1172" spans="2:6" x14ac:dyDescent="0.35">
      <c r="B1172" s="13" t="s">
        <v>551</v>
      </c>
      <c r="C1172" s="15" t="str">
        <f t="shared" si="18"/>
        <v>Kamran Chaudhry</v>
      </c>
      <c r="D1172" s="17">
        <v>0.15</v>
      </c>
      <c r="E1172" s="15">
        <f>IFERROR(IF(Raw_Data!N1168="", 0, IF(Raw_Data!N1168&gt;1, Raw_Data!N1168/100, Raw_Data!N1168)), 0)</f>
        <v>0.15</v>
      </c>
      <c r="F1172" s="15">
        <f>IFERROR(VALUE(Raw_Data!O1168), Raw_Data!L1168*Raw_Data!M1168)</f>
        <v>290.76</v>
      </c>
    </row>
    <row r="1173" spans="2:6" x14ac:dyDescent="0.35">
      <c r="B1173" s="13" t="s">
        <v>1489</v>
      </c>
      <c r="C1173" s="15" t="str">
        <f t="shared" si="18"/>
        <v>Sara Butt</v>
      </c>
      <c r="D1173" s="17">
        <v>0.2</v>
      </c>
      <c r="E1173" s="15">
        <f>IFERROR(IF(Raw_Data!N1169="", 0, IF(Raw_Data!N1169&gt;1, Raw_Data!N1169/100, Raw_Data!N1169)), 0)</f>
        <v>0.2</v>
      </c>
      <c r="F1173" s="15">
        <f>IFERROR(VALUE(Raw_Data!O1169), Raw_Data!L1169*Raw_Data!M1169)</f>
        <v>635.94000000000005</v>
      </c>
    </row>
    <row r="1174" spans="2:6" x14ac:dyDescent="0.35">
      <c r="B1174" s="13" t="s">
        <v>839</v>
      </c>
      <c r="C1174" s="15" t="str">
        <f t="shared" si="18"/>
        <v>Mahnoor Qureshi</v>
      </c>
      <c r="D1174" s="17">
        <v>0</v>
      </c>
      <c r="E1174" s="15">
        <f>IFERROR(IF(Raw_Data!N1170="", 0, IF(Raw_Data!N1170&gt;1, Raw_Data!N1170/100, Raw_Data!N1170)), 0)</f>
        <v>0</v>
      </c>
      <c r="F1174" s="15">
        <f>IFERROR(VALUE(Raw_Data!O1170), Raw_Data!L1170*Raw_Data!M1170)</f>
        <v>5494.51</v>
      </c>
    </row>
    <row r="1175" spans="2:6" x14ac:dyDescent="0.35">
      <c r="B1175" s="13" t="s">
        <v>941</v>
      </c>
      <c r="C1175" s="15" t="str">
        <f t="shared" si="18"/>
        <v>Ayesha Khan</v>
      </c>
      <c r="D1175" s="17">
        <v>0.15</v>
      </c>
      <c r="E1175" s="15">
        <f>IFERROR(IF(Raw_Data!N1171="", 0, IF(Raw_Data!N1171&gt;1, Raw_Data!N1171/100, Raw_Data!N1171)), 0)</f>
        <v>0.15</v>
      </c>
      <c r="F1175" s="15">
        <f>IFERROR(VALUE(Raw_Data!O1171), Raw_Data!L1171*Raw_Data!M1171)</f>
        <v>1891.32</v>
      </c>
    </row>
    <row r="1176" spans="2:6" x14ac:dyDescent="0.35">
      <c r="B1176" s="13" t="s">
        <v>276</v>
      </c>
      <c r="C1176" s="15" t="str">
        <f t="shared" si="18"/>
        <v>Faisal Malik</v>
      </c>
      <c r="D1176" s="17">
        <v>0</v>
      </c>
      <c r="E1176" s="15">
        <f>IFERROR(IF(Raw_Data!N1172="", 0, IF(Raw_Data!N1172&gt;1, Raw_Data!N1172/100, Raw_Data!N1172)), 0)</f>
        <v>0</v>
      </c>
      <c r="F1176" s="15">
        <f>IFERROR(VALUE(Raw_Data!O1172), Raw_Data!L1172*Raw_Data!M1172)</f>
        <v>2758.55</v>
      </c>
    </row>
    <row r="1177" spans="2:6" x14ac:dyDescent="0.35">
      <c r="B1177" s="13" t="s">
        <v>727</v>
      </c>
      <c r="C1177" s="15" t="str">
        <f t="shared" si="18"/>
        <v>Fatima Sheikh</v>
      </c>
      <c r="D1177" s="17">
        <v>0.3</v>
      </c>
      <c r="E1177" s="15">
        <f>IFERROR(IF(Raw_Data!N1173="", 0, IF(Raw_Data!N1173&gt;1, Raw_Data!N1173/100, Raw_Data!N1173)), 0)</f>
        <v>0.3</v>
      </c>
      <c r="F1177" s="15">
        <f>IFERROR(VALUE(Raw_Data!O1173), Raw_Data!L1173*Raw_Data!M1173)</f>
        <v>7961.64</v>
      </c>
    </row>
    <row r="1178" spans="2:6" x14ac:dyDescent="0.35">
      <c r="B1178" s="13" t="s">
        <v>110</v>
      </c>
      <c r="C1178" s="15" t="str">
        <f t="shared" si="18"/>
        <v>Omar Chaudhry</v>
      </c>
      <c r="D1178" s="17">
        <v>0.2</v>
      </c>
      <c r="E1178" s="15">
        <f>IFERROR(IF(Raw_Data!N1174="", 0, IF(Raw_Data!N1174&gt;1, Raw_Data!N1174/100, Raw_Data!N1174)), 0)</f>
        <v>0.2</v>
      </c>
      <c r="F1178" s="15">
        <f>IFERROR(VALUE(Raw_Data!O1174), Raw_Data!L1174*Raw_Data!M1174)</f>
        <v>3296.51</v>
      </c>
    </row>
    <row r="1179" spans="2:6" x14ac:dyDescent="0.35">
      <c r="B1179" s="13" t="s">
        <v>180</v>
      </c>
      <c r="C1179" s="15" t="str">
        <f t="shared" si="18"/>
        <v>Faisal Butt</v>
      </c>
      <c r="D1179" s="17">
        <v>0.2</v>
      </c>
      <c r="E1179" s="15">
        <f>IFERROR(IF(Raw_Data!N1175="", 0, IF(Raw_Data!N1175&gt;1, Raw_Data!N1175/100, Raw_Data!N1175)), 0)</f>
        <v>0.2</v>
      </c>
      <c r="F1179" s="15">
        <f>IFERROR(VALUE(Raw_Data!O1175), Raw_Data!L1175*Raw_Data!M1175)</f>
        <v>1020.93</v>
      </c>
    </row>
    <row r="1180" spans="2:6" x14ac:dyDescent="0.35">
      <c r="B1180" s="13" t="s">
        <v>435</v>
      </c>
      <c r="C1180" s="15" t="str">
        <f t="shared" si="18"/>
        <v>Ali Chaudhry</v>
      </c>
      <c r="D1180" s="17">
        <v>0.15</v>
      </c>
      <c r="E1180" s="15">
        <f>IFERROR(IF(Raw_Data!N1176="", 0, IF(Raw_Data!N1176&gt;1, Raw_Data!N1176/100, Raw_Data!N1176)), 0)</f>
        <v>0.15</v>
      </c>
      <c r="F1180" s="15">
        <f>IFERROR(VALUE(Raw_Data!O1176), Raw_Data!L1176*Raw_Data!M1176)</f>
        <v>1828.2</v>
      </c>
    </row>
    <row r="1181" spans="2:6" x14ac:dyDescent="0.35">
      <c r="B1181" s="13" t="s">
        <v>213</v>
      </c>
      <c r="C1181" s="15" t="str">
        <f t="shared" si="18"/>
        <v>Hina Iqbal</v>
      </c>
      <c r="D1181" s="17">
        <v>0</v>
      </c>
      <c r="E1181" s="15">
        <f>IFERROR(IF(Raw_Data!N1177="", 0, IF(Raw_Data!N1177&gt;1, Raw_Data!N1177/100, Raw_Data!N1177)), 0)</f>
        <v>0</v>
      </c>
      <c r="F1181" s="15">
        <f>IFERROR(VALUE(Raw_Data!O1177), Raw_Data!L1177*Raw_Data!M1177)</f>
        <v>5314.87</v>
      </c>
    </row>
    <row r="1182" spans="2:6" x14ac:dyDescent="0.35">
      <c r="B1182" s="13" t="s">
        <v>1498</v>
      </c>
      <c r="C1182" s="15" t="str">
        <f t="shared" si="18"/>
        <v>Nida Malik</v>
      </c>
      <c r="D1182" s="17">
        <v>0</v>
      </c>
      <c r="E1182" s="15">
        <f>IFERROR(IF(Raw_Data!N1178="", 0, IF(Raw_Data!N1178&gt;1, Raw_Data!N1178/100, Raw_Data!N1178)), 0)</f>
        <v>0</v>
      </c>
      <c r="F1182" s="15">
        <f>IFERROR(VALUE(Raw_Data!O1178), Raw_Data!L1178*Raw_Data!M1178)</f>
        <v>1235.76</v>
      </c>
    </row>
    <row r="1183" spans="2:6" x14ac:dyDescent="0.35">
      <c r="B1183" s="13" t="s">
        <v>110</v>
      </c>
      <c r="C1183" s="15" t="str">
        <f t="shared" si="18"/>
        <v>Omar Chaudhry</v>
      </c>
      <c r="D1183" s="17">
        <v>0</v>
      </c>
      <c r="E1183" s="15">
        <f>IFERROR(IF(Raw_Data!N1179="", 0, IF(Raw_Data!N1179&gt;1, Raw_Data!N1179/100, Raw_Data!N1179)), 0)</f>
        <v>0</v>
      </c>
      <c r="F1183" s="15">
        <f>IFERROR(VALUE(Raw_Data!O1179), Raw_Data!L1179*Raw_Data!M1179)</f>
        <v>3002.13</v>
      </c>
    </row>
    <row r="1184" spans="2:6" x14ac:dyDescent="0.35">
      <c r="B1184" s="13" t="s">
        <v>510</v>
      </c>
      <c r="C1184" s="15" t="str">
        <f t="shared" si="18"/>
        <v>Hassan Iqbal</v>
      </c>
      <c r="D1184" s="17">
        <v>0.2</v>
      </c>
      <c r="E1184" s="15">
        <f>IFERROR(IF(Raw_Data!N1180="", 0, IF(Raw_Data!N1180&gt;1, Raw_Data!N1180/100, Raw_Data!N1180)), 0)</f>
        <v>0.2</v>
      </c>
      <c r="F1184" s="15">
        <f>IFERROR(VALUE(Raw_Data!O1180), Raw_Data!L1180*Raw_Data!M1180)</f>
        <v>79.55</v>
      </c>
    </row>
    <row r="1185" spans="2:6" x14ac:dyDescent="0.35">
      <c r="B1185" s="13" t="s">
        <v>1043</v>
      </c>
      <c r="C1185" s="15" t="str">
        <f t="shared" si="18"/>
        <v>Zara Raza</v>
      </c>
      <c r="D1185" s="17">
        <v>0</v>
      </c>
      <c r="E1185" s="15">
        <f>IFERROR(IF(Raw_Data!N1181="", 0, IF(Raw_Data!N1181&gt;1, Raw_Data!N1181/100, Raw_Data!N1181)), 0)</f>
        <v>0</v>
      </c>
      <c r="F1185" s="15">
        <f>IFERROR(VALUE(Raw_Data!O1181), Raw_Data!L1181*Raw_Data!M1181)</f>
        <v>5874.84</v>
      </c>
    </row>
    <row r="1186" spans="2:6" x14ac:dyDescent="0.35">
      <c r="B1186" s="13">
        <v>0</v>
      </c>
      <c r="C1186" s="15" t="str">
        <f t="shared" si="18"/>
        <v>Unknown Customer</v>
      </c>
      <c r="D1186" s="17">
        <v>0</v>
      </c>
      <c r="E1186" s="15">
        <f>IFERROR(IF(Raw_Data!N1182="", 0, IF(Raw_Data!N1182&gt;1, Raw_Data!N1182/100, Raw_Data!N1182)), 0)</f>
        <v>0</v>
      </c>
      <c r="F1186" s="15">
        <f>IFERROR(VALUE(Raw_Data!O1182), Raw_Data!L1182*Raw_Data!M1182)</f>
        <v>451.96</v>
      </c>
    </row>
    <row r="1187" spans="2:6" x14ac:dyDescent="0.35">
      <c r="B1187" s="13" t="s">
        <v>263</v>
      </c>
      <c r="C1187" s="15" t="str">
        <f t="shared" si="18"/>
        <v>Ayesha Qureshi</v>
      </c>
      <c r="D1187" s="17">
        <v>0.1</v>
      </c>
      <c r="E1187" s="15">
        <f>IFERROR(IF(Raw_Data!N1183="", 0, IF(Raw_Data!N1183&gt;1, Raw_Data!N1183/100, Raw_Data!N1183)), 0)</f>
        <v>0.1</v>
      </c>
      <c r="F1187" s="15">
        <f>IFERROR(VALUE(Raw_Data!O1183), Raw_Data!L1183*Raw_Data!M1183)</f>
        <v>4184.5200000000004</v>
      </c>
    </row>
    <row r="1188" spans="2:6" x14ac:dyDescent="0.35">
      <c r="B1188" s="13" t="s">
        <v>26</v>
      </c>
      <c r="C1188" s="15" t="str">
        <f t="shared" si="18"/>
        <v>Fatima Raza</v>
      </c>
      <c r="D1188" s="17">
        <v>0.3</v>
      </c>
      <c r="E1188" s="15">
        <f>IFERROR(IF(Raw_Data!N1184="", 0, IF(Raw_Data!N1184&gt;1, Raw_Data!N1184/100, Raw_Data!N1184)), 0)</f>
        <v>0.3</v>
      </c>
      <c r="F1188" s="15">
        <f>IFERROR(VALUE(Raw_Data!O1184), Raw_Data!L1184*Raw_Data!M1184)</f>
        <v>2481.2399999999998</v>
      </c>
    </row>
    <row r="1189" spans="2:6" x14ac:dyDescent="0.35">
      <c r="B1189" s="13" t="s">
        <v>685</v>
      </c>
      <c r="C1189" s="15" t="str">
        <f t="shared" si="18"/>
        <v>Hina Raza</v>
      </c>
      <c r="D1189" s="17">
        <v>0</v>
      </c>
      <c r="E1189" s="15">
        <f>IFERROR(IF(Raw_Data!N1185="", 0, IF(Raw_Data!N1185&gt;1, Raw_Data!N1185/100, Raw_Data!N1185)), 0)</f>
        <v>0</v>
      </c>
      <c r="F1189" s="15">
        <f>IFERROR(VALUE(Raw_Data!O1185), Raw_Data!L1185*Raw_Data!M1185)</f>
        <v>3530.56</v>
      </c>
    </row>
    <row r="1190" spans="2:6" x14ac:dyDescent="0.35">
      <c r="B1190" s="13" t="s">
        <v>403</v>
      </c>
      <c r="C1190" s="15" t="str">
        <f t="shared" si="18"/>
        <v>Adeel Ansari</v>
      </c>
      <c r="D1190" s="17">
        <v>0.15</v>
      </c>
      <c r="E1190" s="15">
        <f>IFERROR(IF(Raw_Data!N1186="", 0, IF(Raw_Data!N1186&gt;1, Raw_Data!N1186/100, Raw_Data!N1186)), 0)</f>
        <v>0.15</v>
      </c>
      <c r="F1190" s="15">
        <f>IFERROR(VALUE(Raw_Data!O1186), Raw_Data!L1186*Raw_Data!M1186)</f>
        <v>6216.12</v>
      </c>
    </row>
    <row r="1191" spans="2:6" x14ac:dyDescent="0.35">
      <c r="B1191" s="13" t="s">
        <v>186</v>
      </c>
      <c r="C1191" s="15" t="str">
        <f t="shared" si="18"/>
        <v>Ali Qureshi</v>
      </c>
      <c r="D1191" s="17">
        <v>0</v>
      </c>
      <c r="E1191" s="15">
        <f>IFERROR(IF(Raw_Data!N1187="", 0, IF(Raw_Data!N1187&gt;1, Raw_Data!N1187/100, Raw_Data!N1187)), 0)</f>
        <v>0</v>
      </c>
      <c r="F1191" s="15">
        <f>IFERROR(VALUE(Raw_Data!O1187), Raw_Data!L1187*Raw_Data!M1187)</f>
        <v>883.12</v>
      </c>
    </row>
    <row r="1192" spans="2:6" x14ac:dyDescent="0.35">
      <c r="B1192" s="13" t="s">
        <v>941</v>
      </c>
      <c r="C1192" s="15" t="str">
        <f t="shared" si="18"/>
        <v>Ayesha Khan</v>
      </c>
      <c r="D1192" s="17">
        <v>0</v>
      </c>
      <c r="E1192" s="15">
        <f>IFERROR(IF(Raw_Data!N1188="", 0, IF(Raw_Data!N1188&gt;1, Raw_Data!N1188/100, Raw_Data!N1188)), 0)</f>
        <v>0</v>
      </c>
      <c r="F1192" s="15">
        <f>IFERROR(VALUE(Raw_Data!O1188), Raw_Data!L1188*Raw_Data!M1188)</f>
        <v>2179.71</v>
      </c>
    </row>
    <row r="1193" spans="2:6" x14ac:dyDescent="0.35">
      <c r="B1193" s="13" t="s">
        <v>114</v>
      </c>
      <c r="C1193" s="15" t="str">
        <f t="shared" si="18"/>
        <v>Imran Malik</v>
      </c>
      <c r="D1193" s="17">
        <v>0</v>
      </c>
      <c r="E1193" s="15">
        <f>IFERROR(IF(Raw_Data!N1189="", 0, IF(Raw_Data!N1189&gt;1, Raw_Data!N1189/100, Raw_Data!N1189)), 0)</f>
        <v>0</v>
      </c>
      <c r="F1193" s="15">
        <f>IFERROR(VALUE(Raw_Data!O1189), Raw_Data!L1189*Raw_Data!M1189)</f>
        <v>1150.5</v>
      </c>
    </row>
    <row r="1194" spans="2:6" x14ac:dyDescent="0.35">
      <c r="B1194" s="13" t="s">
        <v>737</v>
      </c>
      <c r="C1194" s="15" t="str">
        <f t="shared" si="18"/>
        <v>Hassan Ansari</v>
      </c>
      <c r="D1194" s="17">
        <v>0</v>
      </c>
      <c r="E1194" s="15">
        <f>IFERROR(IF(Raw_Data!N1190="", 0, IF(Raw_Data!N1190&gt;1, Raw_Data!N1190/100, Raw_Data!N1190)), 0)</f>
        <v>0</v>
      </c>
      <c r="F1194" s="15">
        <f>IFERROR(VALUE(Raw_Data!O1190), Raw_Data!L1190*Raw_Data!M1190)</f>
        <v>3608.88</v>
      </c>
    </row>
    <row r="1195" spans="2:6" x14ac:dyDescent="0.35">
      <c r="B1195" s="13" t="s">
        <v>193</v>
      </c>
      <c r="C1195" s="15" t="str">
        <f t="shared" si="18"/>
        <v>Sana Butt</v>
      </c>
      <c r="D1195" s="17">
        <v>0.15</v>
      </c>
      <c r="E1195" s="15">
        <f>IFERROR(IF(Raw_Data!N1191="", 0, IF(Raw_Data!N1191&gt;1, Raw_Data!N1191/100, Raw_Data!N1191)), 0)</f>
        <v>0.15</v>
      </c>
      <c r="F1195" s="15">
        <f>IFERROR(VALUE(Raw_Data!O1191), Raw_Data!L1191*Raw_Data!M1191)</f>
        <v>4819.84</v>
      </c>
    </row>
    <row r="1196" spans="2:6" x14ac:dyDescent="0.35">
      <c r="B1196" s="13" t="s">
        <v>419</v>
      </c>
      <c r="C1196" s="15" t="str">
        <f t="shared" si="18"/>
        <v>Nida Butt</v>
      </c>
      <c r="D1196" s="17">
        <v>0</v>
      </c>
      <c r="E1196" s="15">
        <f>IFERROR(IF(Raw_Data!N1192="", 0, IF(Raw_Data!N1192&gt;1, Raw_Data!N1192/100, Raw_Data!N1192)), 0)</f>
        <v>0</v>
      </c>
      <c r="F1196" s="15">
        <f>IFERROR(VALUE(Raw_Data!O1192), Raw_Data!L1192*Raw_Data!M1192)</f>
        <v>4299.0200000000004</v>
      </c>
    </row>
    <row r="1197" spans="2:6" x14ac:dyDescent="0.35">
      <c r="B1197" s="13" t="s">
        <v>984</v>
      </c>
      <c r="C1197" s="15" t="str">
        <f t="shared" si="18"/>
        <v>Zara Ansari</v>
      </c>
      <c r="D1197" s="17">
        <v>0</v>
      </c>
      <c r="E1197" s="15">
        <f>IFERROR(IF(Raw_Data!N1193="", 0, IF(Raw_Data!N1193&gt;1, Raw_Data!N1193/100, Raw_Data!N1193)), 0)</f>
        <v>0</v>
      </c>
      <c r="F1197" s="15">
        <f>IFERROR(VALUE(Raw_Data!O1193), Raw_Data!L1193*Raw_Data!M1193)</f>
        <v>883.6</v>
      </c>
    </row>
    <row r="1198" spans="2:6" x14ac:dyDescent="0.35">
      <c r="B1198" s="13" t="s">
        <v>173</v>
      </c>
      <c r="C1198" s="15" t="str">
        <f t="shared" si="18"/>
        <v>Ayesha Ansari</v>
      </c>
      <c r="D1198" s="17">
        <v>0</v>
      </c>
      <c r="E1198" s="15">
        <f>IFERROR(IF(Raw_Data!N1194="", 0, IF(Raw_Data!N1194&gt;1, Raw_Data!N1194/100, Raw_Data!N1194)), 0)</f>
        <v>0</v>
      </c>
      <c r="F1198" s="15">
        <f>IFERROR(VALUE(Raw_Data!O1194), Raw_Data!L1194*Raw_Data!M1194)</f>
        <v>212.86</v>
      </c>
    </row>
    <row r="1199" spans="2:6" x14ac:dyDescent="0.35">
      <c r="B1199" s="13" t="s">
        <v>120</v>
      </c>
      <c r="C1199" s="15" t="str">
        <f t="shared" si="18"/>
        <v>Adeel Qureshi</v>
      </c>
      <c r="D1199" s="17">
        <v>0.2</v>
      </c>
      <c r="E1199" s="15">
        <f>IFERROR(IF(Raw_Data!N1195="", 0, IF(Raw_Data!N1195&gt;1, Raw_Data!N1195/100, Raw_Data!N1195)), 0)</f>
        <v>0.2</v>
      </c>
      <c r="F1199" s="15">
        <f>IFERROR(VALUE(Raw_Data!O1195), Raw_Data!L1195*Raw_Data!M1195)</f>
        <v>3203.9</v>
      </c>
    </row>
    <row r="1200" spans="2:6" x14ac:dyDescent="0.35">
      <c r="B1200" s="13" t="s">
        <v>176</v>
      </c>
      <c r="C1200" s="15" t="str">
        <f t="shared" si="18"/>
        <v>Omar Butt</v>
      </c>
      <c r="D1200" s="17">
        <v>0.2</v>
      </c>
      <c r="E1200" s="15">
        <f>IFERROR(IF(Raw_Data!N1196="", 0, IF(Raw_Data!N1196&gt;1, Raw_Data!N1196/100, Raw_Data!N1196)), 0)</f>
        <v>0.2</v>
      </c>
      <c r="F1200" s="15">
        <f>IFERROR(VALUE(Raw_Data!O1196), Raw_Data!L1196*Raw_Data!M1196)</f>
        <v>3189.68</v>
      </c>
    </row>
    <row r="1201" spans="2:6" x14ac:dyDescent="0.35">
      <c r="B1201" s="13" t="s">
        <v>279</v>
      </c>
      <c r="C1201" s="15" t="str">
        <f t="shared" si="18"/>
        <v>Sana Malik</v>
      </c>
      <c r="D1201" s="17">
        <v>0.1</v>
      </c>
      <c r="E1201" s="15">
        <f>IFERROR(IF(Raw_Data!N1197="", 0, IF(Raw_Data!N1197&gt;1, Raw_Data!N1197/100, Raw_Data!N1197)), 0)</f>
        <v>0.1</v>
      </c>
      <c r="F1201" s="15">
        <f>IFERROR(VALUE(Raw_Data!O1197), Raw_Data!L1197*Raw_Data!M1197)</f>
        <v>458.74</v>
      </c>
    </row>
    <row r="1202" spans="2:6" x14ac:dyDescent="0.35">
      <c r="B1202" s="13" t="s">
        <v>400</v>
      </c>
      <c r="C1202" s="15" t="str">
        <f t="shared" si="18"/>
        <v>Sana Chaudhry</v>
      </c>
      <c r="D1202" s="17">
        <v>0.15</v>
      </c>
      <c r="E1202" s="15">
        <f>IFERROR(IF(Raw_Data!N1198="", 0, IF(Raw_Data!N1198&gt;1, Raw_Data!N1198/100, Raw_Data!N1198)), 0)</f>
        <v>0.15</v>
      </c>
      <c r="F1202" s="15">
        <f>IFERROR(VALUE(Raw_Data!O1198), Raw_Data!L1198*Raw_Data!M1198)</f>
        <v>978.86</v>
      </c>
    </row>
    <row r="1203" spans="2:6" x14ac:dyDescent="0.35">
      <c r="B1203" s="13" t="s">
        <v>66</v>
      </c>
      <c r="C1203" s="15" t="str">
        <f t="shared" si="18"/>
        <v>Usman Qureshi</v>
      </c>
      <c r="D1203" s="17">
        <v>0.3</v>
      </c>
      <c r="E1203" s="15">
        <f>IFERROR(IF(Raw_Data!N1199="", 0, IF(Raw_Data!N1199&gt;1, Raw_Data!N1199/100, Raw_Data!N1199)), 0)</f>
        <v>0.3</v>
      </c>
      <c r="F1203" s="15">
        <f>IFERROR(VALUE(Raw_Data!O1199), Raw_Data!L1199*Raw_Data!M1199)</f>
        <v>1768.23</v>
      </c>
    </row>
    <row r="1204" spans="2:6" x14ac:dyDescent="0.35">
      <c r="B1204" s="13" t="s">
        <v>227</v>
      </c>
      <c r="C1204" s="15" t="str">
        <f t="shared" si="18"/>
        <v>Omar Qureshi</v>
      </c>
      <c r="D1204" s="17">
        <v>0</v>
      </c>
      <c r="E1204" s="15">
        <f>IFERROR(IF(Raw_Data!N1200="", 0, IF(Raw_Data!N1200&gt;1, Raw_Data!N1200/100, Raw_Data!N1200)), 0)</f>
        <v>0</v>
      </c>
      <c r="F1204" s="15">
        <f>IFERROR(VALUE(Raw_Data!O1200), Raw_Data!L1200*Raw_Data!M1200)</f>
        <v>4595.03</v>
      </c>
    </row>
    <row r="1205" spans="2:6" x14ac:dyDescent="0.35">
      <c r="B1205" s="13" t="s">
        <v>433</v>
      </c>
      <c r="C1205" s="15" t="str">
        <f t="shared" si="18"/>
        <v>Rabia Ansari</v>
      </c>
      <c r="D1205" s="17">
        <v>0</v>
      </c>
      <c r="E1205" s="15">
        <f>IFERROR(IF(Raw_Data!N1201="", 0, IF(Raw_Data!N1201&gt;1, Raw_Data!N1201/100, Raw_Data!N1201)), 0)</f>
        <v>0</v>
      </c>
      <c r="F1205" s="15">
        <f>IFERROR(VALUE(Raw_Data!O1201), Raw_Data!L1201*Raw_Data!M1201)</f>
        <v>7992.05</v>
      </c>
    </row>
    <row r="1206" spans="2:6" x14ac:dyDescent="0.35">
      <c r="B1206" s="13" t="s">
        <v>229</v>
      </c>
      <c r="C1206" s="15" t="str">
        <f t="shared" si="18"/>
        <v>Ahmed Ansari</v>
      </c>
      <c r="D1206" s="17">
        <v>0</v>
      </c>
      <c r="E1206" s="15">
        <f>IFERROR(IF(Raw_Data!N1202="", 0, IF(Raw_Data!N1202&gt;1, Raw_Data!N1202/100, Raw_Data!N1202)), 0)</f>
        <v>0</v>
      </c>
      <c r="F1206" s="15">
        <f>IFERROR(VALUE(Raw_Data!O1202), Raw_Data!L1202*Raw_Data!M1202)</f>
        <v>3796.45</v>
      </c>
    </row>
    <row r="1207" spans="2:6" x14ac:dyDescent="0.35">
      <c r="B1207" s="13" t="s">
        <v>781</v>
      </c>
      <c r="C1207" s="15" t="str">
        <f t="shared" si="18"/>
        <v>Tariq Sheikh</v>
      </c>
      <c r="D1207" s="17">
        <v>0</v>
      </c>
      <c r="E1207" s="15">
        <f>IFERROR(IF(Raw_Data!N1203="", 0, IF(Raw_Data!N1203&gt;1, Raw_Data!N1203/100, Raw_Data!N1203)), 0)</f>
        <v>0</v>
      </c>
      <c r="F1207" s="15">
        <f>IFERROR(VALUE(Raw_Data!O1203), Raw_Data!L1203*Raw_Data!M1203)</f>
        <v>3211.08</v>
      </c>
    </row>
    <row r="1208" spans="2:6" x14ac:dyDescent="0.35">
      <c r="B1208" s="13" t="s">
        <v>233</v>
      </c>
      <c r="C1208" s="15" t="str">
        <f t="shared" si="18"/>
        <v>Omar Sheikh</v>
      </c>
      <c r="D1208" s="17">
        <v>0</v>
      </c>
      <c r="E1208" s="15">
        <f>IFERROR(IF(Raw_Data!N1204="", 0, IF(Raw_Data!N1204&gt;1, Raw_Data!N1204/100, Raw_Data!N1204)), 0)</f>
        <v>0</v>
      </c>
      <c r="F1208" s="15">
        <f>IFERROR(VALUE(Raw_Data!O1204), Raw_Data!L1204*Raw_Data!M1204)</f>
        <v>1141.7</v>
      </c>
    </row>
    <row r="1209" spans="2:6" x14ac:dyDescent="0.35">
      <c r="B1209" s="13" t="s">
        <v>193</v>
      </c>
      <c r="C1209" s="15" t="str">
        <f t="shared" si="18"/>
        <v>Sana Butt</v>
      </c>
      <c r="D1209" s="17">
        <v>0.2</v>
      </c>
      <c r="E1209" s="15">
        <f>IFERROR(IF(Raw_Data!N1205="", 0, IF(Raw_Data!N1205&gt;1, Raw_Data!N1205/100, Raw_Data!N1205)), 0)</f>
        <v>0.2</v>
      </c>
      <c r="F1209" s="15">
        <f>IFERROR(VALUE(Raw_Data!O1205), Raw_Data!L1205*Raw_Data!M1205)</f>
        <v>1123.23</v>
      </c>
    </row>
    <row r="1210" spans="2:6" x14ac:dyDescent="0.35">
      <c r="B1210" s="13" t="s">
        <v>229</v>
      </c>
      <c r="C1210" s="15" t="str">
        <f t="shared" si="18"/>
        <v>Ahmed Ansari</v>
      </c>
      <c r="D1210" s="17">
        <v>0</v>
      </c>
      <c r="E1210" s="15">
        <f>IFERROR(IF(Raw_Data!N1206="", 0, IF(Raw_Data!N1206&gt;1, Raw_Data!N1206/100, Raw_Data!N1206)), 0)</f>
        <v>0</v>
      </c>
      <c r="F1210" s="15">
        <f>IFERROR(VALUE(Raw_Data!O1206), Raw_Data!L1206*Raw_Data!M1206)</f>
        <v>2837.52</v>
      </c>
    </row>
    <row r="1211" spans="2:6" x14ac:dyDescent="0.35">
      <c r="B1211" s="13" t="s">
        <v>231</v>
      </c>
      <c r="C1211" s="15" t="str">
        <f t="shared" si="18"/>
        <v>Fatima Malik</v>
      </c>
      <c r="D1211" s="17">
        <v>0</v>
      </c>
      <c r="E1211" s="15">
        <f>IFERROR(IF(Raw_Data!N1207="", 0, IF(Raw_Data!N1207&gt;1, Raw_Data!N1207/100, Raw_Data!N1207)), 0)</f>
        <v>0</v>
      </c>
      <c r="F1211" s="15">
        <f>IFERROR(VALUE(Raw_Data!O1207), Raw_Data!L1207*Raw_Data!M1207)</f>
        <v>3452.32</v>
      </c>
    </row>
    <row r="1212" spans="2:6" x14ac:dyDescent="0.35">
      <c r="B1212" s="13" t="s">
        <v>342</v>
      </c>
      <c r="C1212" s="15" t="str">
        <f t="shared" si="18"/>
        <v>Hassan Chaudhry</v>
      </c>
      <c r="D1212" s="17">
        <v>0.2</v>
      </c>
      <c r="E1212" s="15">
        <f>IFERROR(IF(Raw_Data!N1208="", 0, IF(Raw_Data!N1208&gt;1, Raw_Data!N1208/100, Raw_Data!N1208)), 0)</f>
        <v>0.2</v>
      </c>
      <c r="F1212" s="15">
        <f>IFERROR(VALUE(Raw_Data!O1208), Raw_Data!L1208*Raw_Data!M1208)</f>
        <v>5349.08</v>
      </c>
    </row>
    <row r="1213" spans="2:6" x14ac:dyDescent="0.35">
      <c r="B1213" s="13" t="s">
        <v>419</v>
      </c>
      <c r="C1213" s="15" t="str">
        <f t="shared" si="18"/>
        <v>Nida Butt</v>
      </c>
      <c r="D1213" s="17">
        <v>0.15</v>
      </c>
      <c r="E1213" s="15">
        <f>IFERROR(IF(Raw_Data!N1209="", 0, IF(Raw_Data!N1209&gt;1, Raw_Data!N1209/100, Raw_Data!N1209)), 0)</f>
        <v>0.15</v>
      </c>
      <c r="F1213" s="15">
        <f>IFERROR(VALUE(Raw_Data!O1209), Raw_Data!L1209*Raw_Data!M1209)</f>
        <v>6462.36</v>
      </c>
    </row>
    <row r="1214" spans="2:6" x14ac:dyDescent="0.35">
      <c r="B1214" s="13" t="s">
        <v>163</v>
      </c>
      <c r="C1214" s="15" t="str">
        <f t="shared" si="18"/>
        <v>Bilal Butt</v>
      </c>
      <c r="D1214" s="17">
        <v>0.15</v>
      </c>
      <c r="E1214" s="15">
        <f>IFERROR(IF(Raw_Data!N1210="", 0, IF(Raw_Data!N1210&gt;1, Raw_Data!N1210/100, Raw_Data!N1210)), 0)</f>
        <v>0.15</v>
      </c>
      <c r="F1214" s="15">
        <f>IFERROR(VALUE(Raw_Data!O1210), Raw_Data!L1210*Raw_Data!M1210)</f>
        <v>1246.76</v>
      </c>
    </row>
    <row r="1215" spans="2:6" x14ac:dyDescent="0.35">
      <c r="B1215" s="13" t="s">
        <v>299</v>
      </c>
      <c r="C1215" s="15" t="str">
        <f t="shared" si="18"/>
        <v>Adeel Farooq</v>
      </c>
      <c r="D1215" s="17">
        <v>0.15</v>
      </c>
      <c r="E1215" s="15">
        <f>IFERROR(IF(Raw_Data!N1211="", 0, IF(Raw_Data!N1211&gt;1, Raw_Data!N1211/100, Raw_Data!N1211)), 0)</f>
        <v>0.15</v>
      </c>
      <c r="F1215" s="15">
        <f>IFERROR(VALUE(Raw_Data!O1211), Raw_Data!L1211*Raw_Data!M1211)</f>
        <v>3008</v>
      </c>
    </row>
    <row r="1216" spans="2:6" x14ac:dyDescent="0.35">
      <c r="B1216" s="13" t="s">
        <v>316</v>
      </c>
      <c r="C1216" s="15" t="str">
        <f t="shared" si="18"/>
        <v>Ali Farooq</v>
      </c>
      <c r="D1216" s="17">
        <v>0</v>
      </c>
      <c r="E1216" s="15">
        <f>IFERROR(IF(Raw_Data!N1212="", 0, IF(Raw_Data!N1212&gt;1, Raw_Data!N1212/100, Raw_Data!N1212)), 0)</f>
        <v>0</v>
      </c>
      <c r="F1216" s="15">
        <f>IFERROR(VALUE(Raw_Data!O1212), Raw_Data!L1212*Raw_Data!M1212)</f>
        <v>6407.04</v>
      </c>
    </row>
    <row r="1217" spans="2:6" x14ac:dyDescent="0.35">
      <c r="B1217" s="13" t="s">
        <v>476</v>
      </c>
      <c r="C1217" s="15" t="str">
        <f t="shared" si="18"/>
        <v>Nida Iqbal</v>
      </c>
      <c r="D1217" s="17">
        <v>0.2</v>
      </c>
      <c r="E1217" s="15">
        <f>IFERROR(IF(Raw_Data!N1213="", 0, IF(Raw_Data!N1213&gt;1, Raw_Data!N1213/100, Raw_Data!N1213)), 0)</f>
        <v>0.2</v>
      </c>
      <c r="F1217" s="15">
        <f>IFERROR(VALUE(Raw_Data!O1213), Raw_Data!L1213*Raw_Data!M1213)</f>
        <v>6088.81</v>
      </c>
    </row>
    <row r="1218" spans="2:6" x14ac:dyDescent="0.35">
      <c r="B1218" s="13" t="s">
        <v>492</v>
      </c>
      <c r="C1218" s="15" t="str">
        <f t="shared" si="18"/>
        <v>Sara Sheikh</v>
      </c>
      <c r="D1218" s="17">
        <v>0</v>
      </c>
      <c r="E1218" s="15">
        <f>IFERROR(IF(Raw_Data!N1214="", 0, IF(Raw_Data!N1214&gt;1, Raw_Data!N1214/100, Raw_Data!N1214)), 0)</f>
        <v>0</v>
      </c>
      <c r="F1218" s="15">
        <f>IFERROR(VALUE(Raw_Data!O1214), Raw_Data!L1214*Raw_Data!M1214)</f>
        <v>1707.37</v>
      </c>
    </row>
    <row r="1219" spans="2:6" x14ac:dyDescent="0.35">
      <c r="B1219" s="13" t="s">
        <v>202</v>
      </c>
      <c r="C1219" s="15" t="str">
        <f t="shared" si="18"/>
        <v>Kamran Qureshi</v>
      </c>
      <c r="D1219" s="17">
        <v>0</v>
      </c>
      <c r="E1219" s="15">
        <f>IFERROR(IF(Raw_Data!N1215="", 0, IF(Raw_Data!N1215&gt;1, Raw_Data!N1215/100, Raw_Data!N1215)), 0)</f>
        <v>0</v>
      </c>
      <c r="F1219" s="15">
        <f>IFERROR(VALUE(Raw_Data!O1215), Raw_Data!L1215*Raw_Data!M1215)</f>
        <v>8331.51</v>
      </c>
    </row>
    <row r="1220" spans="2:6" x14ac:dyDescent="0.35">
      <c r="B1220" s="13" t="s">
        <v>156</v>
      </c>
      <c r="C1220" s="15" t="str">
        <f t="shared" si="18"/>
        <v>Adeel Butt</v>
      </c>
      <c r="D1220" s="17">
        <v>0.1</v>
      </c>
      <c r="E1220" s="15">
        <f>IFERROR(IF(Raw_Data!N1216="", 0, IF(Raw_Data!N1216&gt;1, Raw_Data!N1216/100, Raw_Data!N1216)), 0)</f>
        <v>0.1</v>
      </c>
      <c r="F1220" s="15">
        <f>IFERROR(VALUE(Raw_Data!O1216), Raw_Data!L1216*Raw_Data!M1216)</f>
        <v>1370.28</v>
      </c>
    </row>
    <row r="1221" spans="2:6" x14ac:dyDescent="0.35">
      <c r="B1221" s="13" t="s">
        <v>807</v>
      </c>
      <c r="C1221" s="15" t="str">
        <f t="shared" si="18"/>
        <v>Bilal Farooq</v>
      </c>
      <c r="D1221" s="17">
        <v>0</v>
      </c>
      <c r="E1221" s="15">
        <f>IFERROR(IF(Raw_Data!N1217="", 0, IF(Raw_Data!N1217&gt;1, Raw_Data!N1217/100, Raw_Data!N1217)), 0)</f>
        <v>0</v>
      </c>
      <c r="F1221" s="15">
        <f>IFERROR(VALUE(Raw_Data!O1217), Raw_Data!L1217*Raw_Data!M1217)</f>
        <v>419.82</v>
      </c>
    </row>
    <row r="1222" spans="2:6" x14ac:dyDescent="0.35">
      <c r="B1222" s="13" t="s">
        <v>143</v>
      </c>
      <c r="C1222" s="15" t="str">
        <f t="shared" si="18"/>
        <v>Zara Sheikh</v>
      </c>
      <c r="D1222" s="17">
        <v>0.3</v>
      </c>
      <c r="E1222" s="15">
        <f>IFERROR(IF(Raw_Data!N1218="", 0, IF(Raw_Data!N1218&gt;1, Raw_Data!N1218/100, Raw_Data!N1218)), 0)</f>
        <v>0.3</v>
      </c>
      <c r="F1222" s="15">
        <f>IFERROR(VALUE(Raw_Data!O1218), Raw_Data!L1218*Raw_Data!M1218)</f>
        <v>639.69000000000005</v>
      </c>
    </row>
    <row r="1223" spans="2:6" x14ac:dyDescent="0.35">
      <c r="B1223" s="13" t="s">
        <v>314</v>
      </c>
      <c r="C1223" s="15" t="str">
        <f t="shared" ref="C1223:C1251" si="19">IF(OR(B1223="",B1223=0), "Unknown Customer", PROPER(TRIM(B1223)))</f>
        <v>Sara Butt</v>
      </c>
      <c r="D1223" s="17">
        <v>0</v>
      </c>
      <c r="E1223" s="15">
        <f>IFERROR(IF(Raw_Data!N1219="", 0, IF(Raw_Data!N1219&gt;1, Raw_Data!N1219/100, Raw_Data!N1219)), 0)</f>
        <v>0</v>
      </c>
      <c r="F1223" s="15">
        <f>IFERROR(VALUE(Raw_Data!O1219), Raw_Data!L1219*Raw_Data!M1219)</f>
        <v>416.01</v>
      </c>
    </row>
    <row r="1224" spans="2:6" x14ac:dyDescent="0.35">
      <c r="B1224" s="13" t="s">
        <v>675</v>
      </c>
      <c r="C1224" s="15" t="str">
        <f t="shared" si="19"/>
        <v>Hina Ansari</v>
      </c>
      <c r="D1224" s="17">
        <v>0.3</v>
      </c>
      <c r="E1224" s="15">
        <f>IFERROR(IF(Raw_Data!N1220="", 0, IF(Raw_Data!N1220&gt;1, Raw_Data!N1220/100, Raw_Data!N1220)), 0)</f>
        <v>0.3</v>
      </c>
      <c r="F1224" s="15">
        <f>IFERROR(VALUE(Raw_Data!O1220), Raw_Data!L1220*Raw_Data!M1220)</f>
        <v>6729.48</v>
      </c>
    </row>
    <row r="1225" spans="2:6" x14ac:dyDescent="0.35">
      <c r="B1225" s="13" t="s">
        <v>507</v>
      </c>
      <c r="C1225" s="15" t="str">
        <f t="shared" si="19"/>
        <v>Omar Khan</v>
      </c>
      <c r="D1225" s="17">
        <v>0</v>
      </c>
      <c r="E1225" s="15">
        <f>IFERROR(IF(Raw_Data!N1221="", 0, IF(Raw_Data!N1221&gt;1, Raw_Data!N1221/100, Raw_Data!N1221)), 0)</f>
        <v>0</v>
      </c>
      <c r="F1225" s="15">
        <f>IFERROR(VALUE(Raw_Data!O1221), Raw_Data!L1221*Raw_Data!M1221)</f>
        <v>4505.4399999999996</v>
      </c>
    </row>
    <row r="1226" spans="2:6" x14ac:dyDescent="0.35">
      <c r="B1226" s="13" t="s">
        <v>283</v>
      </c>
      <c r="C1226" s="15" t="str">
        <f t="shared" si="19"/>
        <v>Bilal Khan</v>
      </c>
      <c r="D1226" s="17">
        <v>0.15</v>
      </c>
      <c r="E1226" s="15">
        <f>IFERROR(IF(Raw_Data!N1222="", 0, IF(Raw_Data!N1222&gt;1, Raw_Data!N1222/100, Raw_Data!N1222)), 0)</f>
        <v>0.15</v>
      </c>
      <c r="F1226" s="15">
        <f>IFERROR(VALUE(Raw_Data!O1222), Raw_Data!L1222*Raw_Data!M1222)</f>
        <v>2658.48</v>
      </c>
    </row>
    <row r="1227" spans="2:6" x14ac:dyDescent="0.35">
      <c r="B1227" s="13" t="s">
        <v>469</v>
      </c>
      <c r="C1227" s="15" t="str">
        <f t="shared" si="19"/>
        <v>Tariq Chaudhry</v>
      </c>
      <c r="D1227" s="17">
        <v>0.3</v>
      </c>
      <c r="E1227" s="15">
        <f>IFERROR(IF(Raw_Data!N1223="", 0, IF(Raw_Data!N1223&gt;1, Raw_Data!N1223/100, Raw_Data!N1223)), 0)</f>
        <v>0.3</v>
      </c>
      <c r="F1227" s="15">
        <f>IFERROR(VALUE(Raw_Data!O1223), Raw_Data!L1223*Raw_Data!M1223)</f>
        <v>1278.9000000000001</v>
      </c>
    </row>
    <row r="1228" spans="2:6" x14ac:dyDescent="0.35">
      <c r="B1228" s="13" t="s">
        <v>873</v>
      </c>
      <c r="C1228" s="15" t="str">
        <f t="shared" si="19"/>
        <v>Omar Iqbal</v>
      </c>
      <c r="D1228" s="17">
        <v>0.2</v>
      </c>
      <c r="E1228" s="15">
        <f>IFERROR(IF(Raw_Data!N1224="", 0, IF(Raw_Data!N1224&gt;1, Raw_Data!N1224/100, Raw_Data!N1224)), 0)</f>
        <v>0.2</v>
      </c>
      <c r="F1228" s="15">
        <f>IFERROR(VALUE(Raw_Data!O1224), Raw_Data!L1224*Raw_Data!M1224)</f>
        <v>217.76</v>
      </c>
    </row>
    <row r="1229" spans="2:6" x14ac:dyDescent="0.35">
      <c r="B1229" s="13" t="s">
        <v>89</v>
      </c>
      <c r="C1229" s="15" t="str">
        <f t="shared" si="19"/>
        <v>Hina Khan</v>
      </c>
      <c r="D1229" s="17">
        <v>0.1</v>
      </c>
      <c r="E1229" s="15">
        <f>IFERROR(IF(Raw_Data!N1225="", 0, IF(Raw_Data!N1225&gt;1, Raw_Data!N1225/100, Raw_Data!N1225)), 0)</f>
        <v>0.1</v>
      </c>
      <c r="F1229" s="15">
        <f>IFERROR(VALUE(Raw_Data!O1225), Raw_Data!L1225*Raw_Data!M1225)</f>
        <v>851.08</v>
      </c>
    </row>
    <row r="1230" spans="2:6" x14ac:dyDescent="0.35">
      <c r="B1230" s="13" t="s">
        <v>342</v>
      </c>
      <c r="C1230" s="15" t="str">
        <f t="shared" si="19"/>
        <v>Hassan Chaudhry</v>
      </c>
      <c r="D1230" s="17">
        <v>0.15</v>
      </c>
      <c r="E1230" s="15">
        <f>IFERROR(IF(Raw_Data!N1226="", 0, IF(Raw_Data!N1226&gt;1, Raw_Data!N1226/100, Raw_Data!N1226)), 0)</f>
        <v>0.15</v>
      </c>
      <c r="F1230" s="15">
        <f>IFERROR(VALUE(Raw_Data!O1226), Raw_Data!L1226*Raw_Data!M1226)</f>
        <v>6596.19</v>
      </c>
    </row>
    <row r="1231" spans="2:6" x14ac:dyDescent="0.35">
      <c r="B1231" s="13" t="s">
        <v>257</v>
      </c>
      <c r="C1231" s="15" t="str">
        <f t="shared" si="19"/>
        <v>Ayesha Raza</v>
      </c>
      <c r="D1231" s="17">
        <v>0</v>
      </c>
      <c r="E1231" s="15">
        <f>IFERROR(IF(Raw_Data!N1227="", 0, IF(Raw_Data!N1227&gt;1, Raw_Data!N1227/100, Raw_Data!N1227)), 0)</f>
        <v>0</v>
      </c>
      <c r="F1231" s="15">
        <f>IFERROR(VALUE(Raw_Data!O1227), Raw_Data!L1227*Raw_Data!M1227)</f>
        <v>9043.68</v>
      </c>
    </row>
    <row r="1232" spans="2:6" x14ac:dyDescent="0.35">
      <c r="B1232" s="13" t="s">
        <v>287</v>
      </c>
      <c r="C1232" s="15" t="str">
        <f t="shared" si="19"/>
        <v>Fatima Chaudhry</v>
      </c>
      <c r="D1232" s="17">
        <v>0</v>
      </c>
      <c r="E1232" s="15">
        <f>IFERROR(IF(Raw_Data!N1228="", 0, IF(Raw_Data!N1228&gt;1, Raw_Data!N1228/100, Raw_Data!N1228)), 0)</f>
        <v>0</v>
      </c>
      <c r="F1232" s="15">
        <f>IFERROR(VALUE(Raw_Data!O1228), Raw_Data!L1228*Raw_Data!M1228)</f>
        <v>4086.61</v>
      </c>
    </row>
    <row r="1233" spans="2:6" x14ac:dyDescent="0.35">
      <c r="B1233" s="13" t="s">
        <v>126</v>
      </c>
      <c r="C1233" s="15" t="str">
        <f t="shared" si="19"/>
        <v>Ahmed Chaudhry</v>
      </c>
      <c r="D1233" s="17">
        <v>0</v>
      </c>
      <c r="E1233" s="15">
        <f>IFERROR(IF(Raw_Data!N1229="", 0, IF(Raw_Data!N1229&gt;1, Raw_Data!N1229/100, Raw_Data!N1229)), 0)</f>
        <v>0</v>
      </c>
      <c r="F1233" s="15">
        <f>IFERROR(VALUE(Raw_Data!O1229), Raw_Data!L1229*Raw_Data!M1229)</f>
        <v>2078.6</v>
      </c>
    </row>
    <row r="1234" spans="2:6" x14ac:dyDescent="0.35">
      <c r="B1234" s="13" t="s">
        <v>229</v>
      </c>
      <c r="C1234" s="15" t="str">
        <f t="shared" si="19"/>
        <v>Ahmed Ansari</v>
      </c>
      <c r="D1234" s="17">
        <v>0.2</v>
      </c>
      <c r="E1234" s="15">
        <f>IFERROR(IF(Raw_Data!N1230="", 0, IF(Raw_Data!N1230&gt;1, Raw_Data!N1230/100, Raw_Data!N1230)), 0)</f>
        <v>0.2</v>
      </c>
      <c r="F1234" s="15">
        <f>IFERROR(VALUE(Raw_Data!O1230), Raw_Data!L1230*Raw_Data!M1230)</f>
        <v>8594.2800000000007</v>
      </c>
    </row>
    <row r="1235" spans="2:6" x14ac:dyDescent="0.35">
      <c r="B1235" s="13" t="s">
        <v>287</v>
      </c>
      <c r="C1235" s="15" t="str">
        <f t="shared" si="19"/>
        <v>Fatima Chaudhry</v>
      </c>
      <c r="D1235" s="17">
        <v>0</v>
      </c>
      <c r="E1235" s="15">
        <f>IFERROR(IF(Raw_Data!N1231="", 0, IF(Raw_Data!N1231&gt;1, Raw_Data!N1231/100, Raw_Data!N1231)), 0)</f>
        <v>0</v>
      </c>
      <c r="F1235" s="15">
        <f>IFERROR(VALUE(Raw_Data!O1231), Raw_Data!L1231*Raw_Data!M1231)</f>
        <v>5273.64</v>
      </c>
    </row>
    <row r="1236" spans="2:6" x14ac:dyDescent="0.35">
      <c r="B1236" s="13" t="s">
        <v>26</v>
      </c>
      <c r="C1236" s="15" t="str">
        <f t="shared" si="19"/>
        <v>Fatima Raza</v>
      </c>
      <c r="D1236" s="17">
        <v>0.1</v>
      </c>
      <c r="E1236" s="15">
        <f>IFERROR(IF(Raw_Data!N1232="", 0, IF(Raw_Data!N1232&gt;1, Raw_Data!N1232/100, Raw_Data!N1232)), 0)</f>
        <v>0.1</v>
      </c>
      <c r="F1236" s="15">
        <f>IFERROR(VALUE(Raw_Data!O1232), Raw_Data!L1232*Raw_Data!M1232)</f>
        <v>4982.6400000000003</v>
      </c>
    </row>
    <row r="1237" spans="2:6" x14ac:dyDescent="0.35">
      <c r="B1237" s="13" t="s">
        <v>326</v>
      </c>
      <c r="C1237" s="15" t="str">
        <f t="shared" si="19"/>
        <v>Ali Raza</v>
      </c>
      <c r="D1237" s="17">
        <v>0</v>
      </c>
      <c r="E1237" s="15">
        <f>IFERROR(IF(Raw_Data!N1233="", 0, IF(Raw_Data!N1233&gt;1, Raw_Data!N1233/100, Raw_Data!N1233)), 0)</f>
        <v>0</v>
      </c>
      <c r="F1237" s="15">
        <f>IFERROR(VALUE(Raw_Data!O1233), Raw_Data!L1233*Raw_Data!M1233)</f>
        <v>1064.28</v>
      </c>
    </row>
    <row r="1238" spans="2:6" x14ac:dyDescent="0.35">
      <c r="B1238" s="13" t="s">
        <v>424</v>
      </c>
      <c r="C1238" s="15" t="str">
        <f t="shared" si="19"/>
        <v>Tariq Qureshi</v>
      </c>
      <c r="D1238" s="17">
        <v>0</v>
      </c>
      <c r="E1238" s="15">
        <f>IFERROR(IF(Raw_Data!N1234="", 0, IF(Raw_Data!N1234&gt;1, Raw_Data!N1234/100, Raw_Data!N1234)), 0)</f>
        <v>0</v>
      </c>
      <c r="F1238" s="15">
        <f>IFERROR(VALUE(Raw_Data!O1234), Raw_Data!L1234*Raw_Data!M1234)</f>
        <v>6268.05</v>
      </c>
    </row>
    <row r="1239" spans="2:6" x14ac:dyDescent="0.35">
      <c r="B1239" s="13" t="s">
        <v>237</v>
      </c>
      <c r="C1239" s="15" t="str">
        <f t="shared" si="19"/>
        <v>Hina Farooq</v>
      </c>
      <c r="D1239" s="17">
        <v>0</v>
      </c>
      <c r="E1239" s="15">
        <f>IFERROR(IF(Raw_Data!N1235="", 0, IF(Raw_Data!N1235&gt;1, Raw_Data!N1235/100, Raw_Data!N1235)), 0)</f>
        <v>0</v>
      </c>
      <c r="F1239" s="15">
        <f>IFERROR(VALUE(Raw_Data!O1235), Raw_Data!L1235*Raw_Data!M1235)</f>
        <v>1669.68</v>
      </c>
    </row>
    <row r="1240" spans="2:6" x14ac:dyDescent="0.35">
      <c r="B1240" s="13" t="s">
        <v>71</v>
      </c>
      <c r="C1240" s="15" t="str">
        <f t="shared" si="19"/>
        <v>Nida Khan</v>
      </c>
      <c r="D1240" s="17">
        <v>0</v>
      </c>
      <c r="E1240" s="15">
        <f>IFERROR(IF(Raw_Data!N1236="", 0, IF(Raw_Data!N1236&gt;1, Raw_Data!N1236/100, Raw_Data!N1236)), 0)</f>
        <v>0</v>
      </c>
      <c r="F1240" s="15">
        <f>IFERROR(VALUE(Raw_Data!O1236), Raw_Data!L1236*Raw_Data!M1236)</f>
        <v>332.02</v>
      </c>
    </row>
    <row r="1241" spans="2:6" x14ac:dyDescent="0.35">
      <c r="B1241" s="13" t="s">
        <v>556</v>
      </c>
      <c r="C1241" s="15" t="str">
        <f t="shared" si="19"/>
        <v>Zara Malik</v>
      </c>
      <c r="D1241" s="17">
        <v>0.15</v>
      </c>
      <c r="E1241" s="15">
        <f>IFERROR(IF(Raw_Data!N1237="", 0, IF(Raw_Data!N1237&gt;1, Raw_Data!N1237/100, Raw_Data!N1237)), 0)</f>
        <v>0.15</v>
      </c>
      <c r="F1241" s="15">
        <f>IFERROR(VALUE(Raw_Data!O1237), Raw_Data!L1237*Raw_Data!M1237)</f>
        <v>1763.82</v>
      </c>
    </row>
    <row r="1242" spans="2:6" x14ac:dyDescent="0.35">
      <c r="B1242" s="13" t="s">
        <v>239</v>
      </c>
      <c r="C1242" s="15" t="str">
        <f t="shared" si="19"/>
        <v>Sana Farooq</v>
      </c>
      <c r="D1242" s="17">
        <v>0.2</v>
      </c>
      <c r="E1242" s="15">
        <f>IFERROR(IF(Raw_Data!N1238="", 0, IF(Raw_Data!N1238&gt;1, Raw_Data!N1238/100, Raw_Data!N1238)), 0)</f>
        <v>0.2</v>
      </c>
      <c r="F1242" s="15">
        <f>IFERROR(VALUE(Raw_Data!O1238), Raw_Data!L1238*Raw_Data!M1238)</f>
        <v>302.02999999999997</v>
      </c>
    </row>
    <row r="1243" spans="2:6" x14ac:dyDescent="0.35">
      <c r="B1243" s="13" t="s">
        <v>523</v>
      </c>
      <c r="C1243" s="15" t="str">
        <f t="shared" si="19"/>
        <v>Ahmed Butt</v>
      </c>
      <c r="D1243" s="17">
        <v>0.1</v>
      </c>
      <c r="E1243" s="15">
        <f>IFERROR(IF(Raw_Data!N1239="", 0, IF(Raw_Data!N1239&gt;1, Raw_Data!N1239/100, Raw_Data!N1239)), 0)</f>
        <v>0.1</v>
      </c>
      <c r="F1243" s="15">
        <f>IFERROR(VALUE(Raw_Data!O1239), Raw_Data!L1239*Raw_Data!M1239)</f>
        <v>2641.5</v>
      </c>
    </row>
    <row r="1244" spans="2:6" x14ac:dyDescent="0.35">
      <c r="B1244" s="13" t="s">
        <v>316</v>
      </c>
      <c r="C1244" s="15" t="str">
        <f t="shared" si="19"/>
        <v>Ali Farooq</v>
      </c>
      <c r="D1244" s="17">
        <v>0.3</v>
      </c>
      <c r="E1244" s="15">
        <f>IFERROR(IF(Raw_Data!N1240="", 0, IF(Raw_Data!N1240&gt;1, Raw_Data!N1240/100, Raw_Data!N1240)), 0)</f>
        <v>0.3</v>
      </c>
      <c r="F1244" s="15">
        <f>IFERROR(VALUE(Raw_Data!O1240), Raw_Data!L1240*Raw_Data!M1240)</f>
        <v>6932.56</v>
      </c>
    </row>
    <row r="1245" spans="2:6" x14ac:dyDescent="0.35">
      <c r="B1245" s="13" t="s">
        <v>149</v>
      </c>
      <c r="C1245" s="15" t="str">
        <f t="shared" si="19"/>
        <v>Usman Butt</v>
      </c>
      <c r="D1245" s="17">
        <v>0.3</v>
      </c>
      <c r="E1245" s="15">
        <f>IFERROR(IF(Raw_Data!N1241="", 0, IF(Raw_Data!N1241&gt;1, Raw_Data!N1241/100, Raw_Data!N1241)), 0)</f>
        <v>0.3</v>
      </c>
      <c r="F1245" s="15">
        <f>IFERROR(VALUE(Raw_Data!O1241), Raw_Data!L1241*Raw_Data!M1241)</f>
        <v>5522.44</v>
      </c>
    </row>
    <row r="1246" spans="2:6" x14ac:dyDescent="0.35">
      <c r="B1246" s="13" t="s">
        <v>167</v>
      </c>
      <c r="C1246" s="15" t="str">
        <f t="shared" si="19"/>
        <v>Imran Farooq</v>
      </c>
      <c r="D1246" s="17">
        <v>0.2</v>
      </c>
      <c r="E1246" s="15">
        <f>IFERROR(IF(Raw_Data!N1242="", 0, IF(Raw_Data!N1242&gt;1, Raw_Data!N1242/100, Raw_Data!N1242)), 0)</f>
        <v>0.2</v>
      </c>
      <c r="F1246" s="15">
        <f>IFERROR(VALUE(Raw_Data!O1242), Raw_Data!L1242*Raw_Data!M1242)</f>
        <v>598.70000000000005</v>
      </c>
    </row>
    <row r="1247" spans="2:6" x14ac:dyDescent="0.35">
      <c r="B1247" s="13" t="s">
        <v>556</v>
      </c>
      <c r="C1247" s="15" t="str">
        <f t="shared" si="19"/>
        <v>Zara Malik</v>
      </c>
      <c r="D1247" s="17">
        <v>0</v>
      </c>
      <c r="E1247" s="15">
        <f>IFERROR(IF(Raw_Data!N1243="", 0, IF(Raw_Data!N1243&gt;1, Raw_Data!N1243/100, Raw_Data!N1243)), 0)</f>
        <v>0</v>
      </c>
      <c r="F1247" s="15">
        <f>IFERROR(VALUE(Raw_Data!O1243), Raw_Data!L1243*Raw_Data!M1243)</f>
        <v>6083.4</v>
      </c>
    </row>
    <row r="1248" spans="2:6" x14ac:dyDescent="0.35">
      <c r="B1248" s="13" t="s">
        <v>1367</v>
      </c>
      <c r="C1248" s="15" t="str">
        <f t="shared" si="19"/>
        <v>Faisal Raza</v>
      </c>
      <c r="D1248" s="17">
        <v>0.3</v>
      </c>
      <c r="E1248" s="15">
        <f>IFERROR(IF(Raw_Data!N1244="", 0, IF(Raw_Data!N1244&gt;1, Raw_Data!N1244/100, Raw_Data!N1244)), 0)</f>
        <v>0.3</v>
      </c>
      <c r="F1248" s="15">
        <f>IFERROR(VALUE(Raw_Data!O1244), Raw_Data!L1244*Raw_Data!M1244)</f>
        <v>4596.24</v>
      </c>
    </row>
    <row r="1249" spans="2:6" x14ac:dyDescent="0.35">
      <c r="B1249" s="13" t="s">
        <v>486</v>
      </c>
      <c r="C1249" s="15" t="str">
        <f t="shared" si="19"/>
        <v>Faisal Khan</v>
      </c>
      <c r="D1249" s="17">
        <v>0.1</v>
      </c>
      <c r="E1249" s="15">
        <f>IFERROR(IF(Raw_Data!N1245="", 0, IF(Raw_Data!N1245&gt;1, Raw_Data!N1245/100, Raw_Data!N1245)), 0)</f>
        <v>0.1</v>
      </c>
      <c r="F1249" s="15">
        <f>IFERROR(VALUE(Raw_Data!O1245), Raw_Data!L1245*Raw_Data!M1245)</f>
        <v>3008.64</v>
      </c>
    </row>
    <row r="1250" spans="2:6" x14ac:dyDescent="0.35">
      <c r="B1250" s="13" t="s">
        <v>1367</v>
      </c>
      <c r="C1250" s="15" t="str">
        <f t="shared" si="19"/>
        <v>Faisal Raza</v>
      </c>
      <c r="D1250" s="17">
        <v>0.1</v>
      </c>
      <c r="E1250" s="15">
        <f>IFERROR(IF(Raw_Data!N1246="", 0, IF(Raw_Data!N1246&gt;1, Raw_Data!N1246/100, Raw_Data!N1246)), 0)</f>
        <v>0.1</v>
      </c>
      <c r="F1250" s="15">
        <f>IFERROR(VALUE(Raw_Data!O1246), Raw_Data!L1246*Raw_Data!M1246)</f>
        <v>218.4</v>
      </c>
    </row>
    <row r="1251" spans="2:6" x14ac:dyDescent="0.35">
      <c r="B1251" s="13" t="s">
        <v>200</v>
      </c>
      <c r="C1251" s="15" t="str">
        <f t="shared" si="19"/>
        <v>Nida Malik</v>
      </c>
      <c r="D1251" s="17">
        <v>0</v>
      </c>
      <c r="E1251" s="15">
        <f>IFERROR(IF(Raw_Data!N1247="", 0, IF(Raw_Data!N1247&gt;1, Raw_Data!N1247/100, Raw_Data!N1247)), 0)</f>
        <v>0</v>
      </c>
      <c r="F1251" s="15">
        <f>IFERROR(VALUE(Raw_Data!O1247), Raw_Data!L1247*Raw_Data!M1247)</f>
        <v>9738.24</v>
      </c>
    </row>
  </sheetData>
  <mergeCells count="2">
    <mergeCell ref="A2:F2"/>
    <mergeCell ref="A3:F3"/>
  </mergeCells>
  <conditionalFormatting sqref="A5:A140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E616-F046-4FA3-A2D9-B10345F5BBAB}">
  <dimension ref="A1:D8"/>
  <sheetViews>
    <sheetView workbookViewId="0">
      <selection activeCell="A2" sqref="A2:D2"/>
    </sheetView>
  </sheetViews>
  <sheetFormatPr defaultRowHeight="14.5" x14ac:dyDescent="0.35"/>
  <cols>
    <col min="1" max="1" width="13" bestFit="1" customWidth="1"/>
    <col min="2" max="2" width="12.26953125" bestFit="1" customWidth="1"/>
    <col min="3" max="3" width="11.453125" bestFit="1" customWidth="1"/>
    <col min="4" max="4" width="11.08984375" bestFit="1" customWidth="1"/>
  </cols>
  <sheetData>
    <row r="1" spans="1:4" ht="18" x14ac:dyDescent="0.4">
      <c r="A1" s="21" t="s">
        <v>1575</v>
      </c>
      <c r="B1" s="21"/>
      <c r="C1" s="21"/>
      <c r="D1" s="21"/>
    </row>
    <row r="2" spans="1:4" x14ac:dyDescent="0.35">
      <c r="A2" s="24" t="s">
        <v>1576</v>
      </c>
      <c r="B2" s="24"/>
      <c r="C2" s="24"/>
      <c r="D2" s="24"/>
    </row>
    <row r="4" spans="1:4" x14ac:dyDescent="0.35">
      <c r="A4" s="27" t="s">
        <v>8</v>
      </c>
      <c r="B4" s="29" t="s">
        <v>1572</v>
      </c>
      <c r="C4" s="29" t="s">
        <v>1573</v>
      </c>
      <c r="D4" s="29" t="s">
        <v>1574</v>
      </c>
    </row>
    <row r="5" spans="1:4" x14ac:dyDescent="0.35">
      <c r="A5" s="26" t="s">
        <v>30</v>
      </c>
      <c r="B5">
        <f>COUNTIF(Raw_Data!I:I,A5)</f>
        <v>423</v>
      </c>
      <c r="C5" s="25">
        <f>SUMIF(Raw_Data!I:I,A5,Raw_Data!O:O)</f>
        <v>1292635.8099999991</v>
      </c>
      <c r="D5" s="25">
        <f>SUMIF(Raw_Data!I:I,A5,Raw_Data!P:P)</f>
        <v>136611.15</v>
      </c>
    </row>
    <row r="6" spans="1:4" x14ac:dyDescent="0.35">
      <c r="A6" s="26" t="s">
        <v>52</v>
      </c>
      <c r="B6">
        <f>COUNTIF(Raw_Data!I:I,Category_Summary!A6)</f>
        <v>430</v>
      </c>
      <c r="C6" s="25">
        <f>SUMIF(Raw_Data!I:I,A6,Raw_Data!O:O)</f>
        <v>1301622.1499999994</v>
      </c>
      <c r="D6" s="25">
        <f>SUMIF(Raw_Data!I:I,A6,Raw_Data!P:P)</f>
        <v>121206.68000000001</v>
      </c>
    </row>
    <row r="7" spans="1:4" x14ac:dyDescent="0.35">
      <c r="A7" s="26" t="s">
        <v>22</v>
      </c>
      <c r="B7">
        <f>COUNTIF(Raw_Data!I:I,A7)</f>
        <v>392</v>
      </c>
      <c r="C7" s="25">
        <f>SUMIF(Raw_Data!I:I,A7,Raw_Data!O:O)</f>
        <v>1109618.3500000006</v>
      </c>
      <c r="D7" s="25">
        <f>SUMIF(Raw_Data!I:I,A7,Raw_Data!P:P)</f>
        <v>102322.86999999998</v>
      </c>
    </row>
    <row r="8" spans="1:4" x14ac:dyDescent="0.35">
      <c r="A8" s="28" t="s">
        <v>1571</v>
      </c>
      <c r="B8" s="30">
        <f>SUM(B5:B7)</f>
        <v>1245</v>
      </c>
      <c r="C8" s="31">
        <f>SUM(C5:C7)</f>
        <v>3703876.3099999991</v>
      </c>
      <c r="D8" s="31">
        <f>SUM(D5:D7)</f>
        <v>360140.7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6254-87C5-4004-8B98-96BC82615B3E}">
  <dimension ref="A1:B13"/>
  <sheetViews>
    <sheetView tabSelected="1" workbookViewId="0">
      <selection sqref="A1:B1"/>
    </sheetView>
  </sheetViews>
  <sheetFormatPr defaultRowHeight="14.5" x14ac:dyDescent="0.35"/>
  <cols>
    <col min="1" max="1" width="40.54296875" customWidth="1"/>
    <col min="2" max="2" width="44.08984375" customWidth="1"/>
  </cols>
  <sheetData>
    <row r="1" spans="1:2" ht="18" x14ac:dyDescent="0.4">
      <c r="A1" s="21" t="s">
        <v>1597</v>
      </c>
      <c r="B1" s="21"/>
    </row>
    <row r="4" spans="1:2" x14ac:dyDescent="0.35">
      <c r="A4" s="32" t="s">
        <v>1577</v>
      </c>
      <c r="B4" s="33" t="s">
        <v>1578</v>
      </c>
    </row>
    <row r="5" spans="1:2" ht="37.5" x14ac:dyDescent="0.35">
      <c r="A5" s="34" t="s">
        <v>1579</v>
      </c>
      <c r="B5" s="34" t="s">
        <v>1580</v>
      </c>
    </row>
    <row r="6" spans="1:2" ht="37.5" x14ac:dyDescent="0.35">
      <c r="A6" s="34" t="s">
        <v>1581</v>
      </c>
      <c r="B6" s="34" t="s">
        <v>1582</v>
      </c>
    </row>
    <row r="7" spans="1:2" ht="25" x14ac:dyDescent="0.35">
      <c r="A7" s="34" t="s">
        <v>1583</v>
      </c>
      <c r="B7" s="34" t="s">
        <v>1584</v>
      </c>
    </row>
    <row r="8" spans="1:2" ht="25" x14ac:dyDescent="0.35">
      <c r="A8" s="34" t="s">
        <v>1585</v>
      </c>
      <c r="B8" s="34" t="s">
        <v>1586</v>
      </c>
    </row>
    <row r="9" spans="1:2" x14ac:dyDescent="0.35">
      <c r="A9" s="34" t="s">
        <v>1587</v>
      </c>
      <c r="B9" s="34" t="s">
        <v>1588</v>
      </c>
    </row>
    <row r="10" spans="1:2" ht="25" x14ac:dyDescent="0.35">
      <c r="A10" s="34" t="s">
        <v>1589</v>
      </c>
      <c r="B10" s="34" t="s">
        <v>1590</v>
      </c>
    </row>
    <row r="11" spans="1:2" ht="37.5" x14ac:dyDescent="0.35">
      <c r="A11" s="34" t="s">
        <v>1591</v>
      </c>
      <c r="B11" s="34" t="s">
        <v>1592</v>
      </c>
    </row>
    <row r="12" spans="1:2" ht="25" x14ac:dyDescent="0.35">
      <c r="A12" s="34" t="s">
        <v>1593</v>
      </c>
      <c r="B12" s="34" t="s">
        <v>1594</v>
      </c>
    </row>
    <row r="13" spans="1:2" ht="25" x14ac:dyDescent="0.35">
      <c r="A13" s="34" t="s">
        <v>1595</v>
      </c>
      <c r="B13" s="34" t="s">
        <v>1596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Cleaning_Formulas</vt:lpstr>
      <vt:lpstr>Category_Summary</vt:lpstr>
      <vt:lpstr>Data_Quality_Notes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uw-24-ds-bs-006@student.uow.edu.pk</cp:lastModifiedBy>
  <dcterms:created xsi:type="dcterms:W3CDTF">2026-09-04T11:28:09Z</dcterms:created>
  <dcterms:modified xsi:type="dcterms:W3CDTF">2026-09-04T11:28:09Z</dcterms:modified>
</cp:coreProperties>
</file>